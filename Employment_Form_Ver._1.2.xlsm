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720" yWindow="360" windowWidth="22752" windowHeight="8472"/>
  </bookViews>
  <sheets>
    <sheet name="Sheet1" sheetId="1" r:id="rId1"/>
    <sheet name="Employment_Form" sheetId="2" state="hidden" r:id="rId2"/>
  </sheets>
  <calcPr calcId="145621"/>
</workbook>
</file>

<file path=xl/calcChain.xml><?xml version="1.0" encoding="utf-8"?>
<calcChain xmlns="http://schemas.openxmlformats.org/spreadsheetml/2006/main">
  <c r="J1" i="2" l="1"/>
  <c r="I122" i="2"/>
  <c r="H44" i="1"/>
  <c r="H29" i="1"/>
  <c r="H39" i="1"/>
  <c r="H41" i="1"/>
  <c r="H38" i="1"/>
  <c r="H34" i="1"/>
  <c r="H46" i="1"/>
  <c r="H42" i="1"/>
  <c r="H43" i="1"/>
  <c r="H45" i="1"/>
  <c r="H40" i="1"/>
  <c r="I1" i="2" l="1"/>
  <c r="H102" i="1"/>
  <c r="H25" i="1"/>
  <c r="H13" i="1"/>
  <c r="H28" i="1"/>
  <c r="H113" i="1"/>
  <c r="H15" i="1"/>
  <c r="H127" i="1"/>
  <c r="H37" i="1"/>
  <c r="H64" i="1"/>
  <c r="H76" i="1"/>
  <c r="H121" i="1"/>
  <c r="H93" i="1"/>
  <c r="H124" i="1"/>
  <c r="H26" i="1"/>
  <c r="H94" i="1"/>
  <c r="H95" i="1"/>
  <c r="H78" i="1"/>
  <c r="H24" i="1"/>
  <c r="H85" i="1"/>
  <c r="H83" i="1"/>
  <c r="H12" i="1"/>
  <c r="H63" i="1"/>
  <c r="H107" i="1"/>
  <c r="H66" i="1"/>
  <c r="H98" i="1"/>
  <c r="H130" i="1"/>
  <c r="H67" i="1"/>
  <c r="H48" i="1"/>
  <c r="H70" i="1"/>
  <c r="H73" i="1"/>
  <c r="H11" i="1"/>
  <c r="H125" i="1"/>
  <c r="H55" i="1"/>
  <c r="H97" i="1"/>
  <c r="H120" i="1"/>
  <c r="H52" i="1"/>
  <c r="H27" i="1"/>
  <c r="H69" i="1"/>
  <c r="H17" i="1"/>
  <c r="H1" i="1"/>
  <c r="H109" i="1"/>
  <c r="H35" i="1"/>
  <c r="H96" i="1"/>
  <c r="H8" i="1"/>
  <c r="H20" i="1"/>
  <c r="H80" i="1"/>
  <c r="H128" i="1"/>
  <c r="H7" i="1"/>
  <c r="H72" i="1"/>
  <c r="H71" i="1"/>
  <c r="H101" i="1"/>
  <c r="H79" i="1"/>
  <c r="H82" i="1"/>
  <c r="H19" i="1"/>
  <c r="H126" i="1"/>
  <c r="H114" i="1"/>
  <c r="H65" i="1"/>
  <c r="H112" i="1"/>
  <c r="H122" i="1"/>
  <c r="H84" i="1"/>
  <c r="H3" i="1"/>
  <c r="H75" i="1"/>
  <c r="H49" i="1"/>
  <c r="H123" i="1"/>
  <c r="H92" i="1"/>
  <c r="H9" i="1"/>
  <c r="H23" i="1"/>
  <c r="H81" i="1"/>
  <c r="H116" i="1"/>
  <c r="H103" i="1"/>
  <c r="H53" i="1"/>
  <c r="H108" i="1"/>
  <c r="H18" i="1"/>
  <c r="H60" i="1"/>
  <c r="H99" i="1"/>
  <c r="H5" i="1"/>
  <c r="H61" i="1"/>
  <c r="H105" i="1"/>
  <c r="H14" i="1"/>
  <c r="H50" i="1"/>
  <c r="H4" i="1"/>
  <c r="H36" i="1"/>
  <c r="H104" i="1"/>
  <c r="H59" i="1"/>
  <c r="H115" i="1"/>
  <c r="H51" i="1"/>
  <c r="H58" i="1"/>
  <c r="H88" i="1"/>
  <c r="H118" i="1"/>
  <c r="H54" i="1"/>
  <c r="H86" i="1"/>
  <c r="H2" i="1"/>
  <c r="H111" i="1"/>
  <c r="H57" i="1"/>
  <c r="H119" i="1"/>
  <c r="H87" i="1"/>
  <c r="H117" i="1"/>
  <c r="H31" i="1"/>
  <c r="H22" i="1"/>
  <c r="H32" i="1"/>
  <c r="H74" i="1"/>
  <c r="H91" i="1"/>
  <c r="H21" i="1"/>
  <c r="H16" i="1"/>
  <c r="H100" i="1"/>
  <c r="H6" i="1"/>
  <c r="H30" i="1"/>
  <c r="H77" i="1"/>
  <c r="H10" i="1"/>
  <c r="H106" i="1"/>
  <c r="H90" i="1"/>
  <c r="H129" i="1"/>
  <c r="H62" i="1"/>
  <c r="H33" i="1"/>
  <c r="H56" i="1"/>
  <c r="L41" i="2" l="1"/>
  <c r="J41" i="2"/>
  <c r="M41" i="2"/>
  <c r="K41" i="2"/>
  <c r="I41" i="2" l="1"/>
</calcChain>
</file>

<file path=xl/sharedStrings.xml><?xml version="1.0" encoding="utf-8"?>
<sst xmlns="http://schemas.openxmlformats.org/spreadsheetml/2006/main" count="528" uniqueCount="349">
  <si>
    <t>This form will be a part of your permanent records. Any update or change in the information mentioned in this form should be communicated to the HR department.</t>
  </si>
  <si>
    <t>Personal Details</t>
  </si>
  <si>
    <t>First Name</t>
  </si>
  <si>
    <t>Middle Name</t>
  </si>
  <si>
    <t>Surname</t>
  </si>
  <si>
    <t>Father's/ Husband's Name</t>
  </si>
  <si>
    <t>Gender</t>
  </si>
  <si>
    <t>Martial Status</t>
  </si>
  <si>
    <t>Date of Birth</t>
  </si>
  <si>
    <t>Place of Birth</t>
  </si>
  <si>
    <t>Mobile Phone</t>
  </si>
  <si>
    <t>Email id</t>
  </si>
  <si>
    <t>Blood Group</t>
  </si>
  <si>
    <t>Nationality</t>
  </si>
  <si>
    <t>Domicile State</t>
  </si>
  <si>
    <t>PAN Card Number</t>
  </si>
  <si>
    <t>Passport Number</t>
  </si>
  <si>
    <t>Aadhar Card Number</t>
  </si>
  <si>
    <t>Former/Maiden Name</t>
  </si>
  <si>
    <t>Date of Name Change</t>
  </si>
  <si>
    <t>Residing From</t>
  </si>
  <si>
    <t>Till</t>
  </si>
  <si>
    <t>Present Address</t>
  </si>
  <si>
    <t>Type address here</t>
  </si>
  <si>
    <t>City, State</t>
  </si>
  <si>
    <t>Pin Code</t>
  </si>
  <si>
    <t>Telephone Number</t>
  </si>
  <si>
    <t>Nature of Ownership</t>
  </si>
  <si>
    <t>Permanent Address</t>
  </si>
  <si>
    <t>Previous Residential Address 1</t>
  </si>
  <si>
    <t>Previous Residential Address 2</t>
  </si>
  <si>
    <t>Previous Residential Address 3</t>
  </si>
  <si>
    <t>Contact Person  (in case of emergency)</t>
  </si>
  <si>
    <t>Have you worked / applied to any of the BNP Paribas Group Companies before?</t>
  </si>
  <si>
    <t>If Yes, name of the BNP Paribas Group Company and Position</t>
  </si>
  <si>
    <t>From</t>
  </si>
  <si>
    <t>Relationship</t>
  </si>
  <si>
    <t>To</t>
  </si>
  <si>
    <t>College / University 
or Institution</t>
  </si>
  <si>
    <t>Name of Degree/Diploma 
Attained</t>
  </si>
  <si>
    <t>Month/ Year of Passing</t>
  </si>
  <si>
    <t>Seat No./ Roll No.</t>
  </si>
  <si>
    <t>% of Marks Obtained / Grade</t>
  </si>
  <si>
    <t>List any relevant professional qualifications (also provide Membership details) if any :</t>
  </si>
  <si>
    <t>Will this be your first job?</t>
  </si>
  <si>
    <t>If No, how many employers have you worked with -</t>
  </si>
  <si>
    <t>Employment Details</t>
  </si>
  <si>
    <r>
      <t xml:space="preserve">Current or Most Recent Employer
</t>
    </r>
    <r>
      <rPr>
        <b/>
        <sz val="10"/>
        <rFont val="Calibri"/>
        <family val="2"/>
      </rPr>
      <t>(The current employer will be contacted post your joining with BNP Paribas ISPL.</t>
    </r>
    <r>
      <rPr>
        <b/>
        <sz val="11"/>
        <rFont val="Calibri"/>
        <family val="2"/>
      </rPr>
      <t>)</t>
    </r>
  </si>
  <si>
    <t>Previous Employer - 1</t>
  </si>
  <si>
    <t>Company Name</t>
  </si>
  <si>
    <t>Employee Code</t>
  </si>
  <si>
    <t>Dates of Employment</t>
  </si>
  <si>
    <t>Coordinates of the HR officials</t>
  </si>
  <si>
    <t>Name</t>
  </si>
  <si>
    <t>Coordinates of the Supervisor</t>
  </si>
  <si>
    <t>Position/Job Title</t>
  </si>
  <si>
    <t>Fixed Salary (incl benefits):</t>
  </si>
  <si>
    <t>Bonus</t>
  </si>
  <si>
    <t>Reason for Leaving</t>
  </si>
  <si>
    <t>Deputed from Agency</t>
  </si>
  <si>
    <t>If Yes, Agency Name and Contact Details</t>
  </si>
  <si>
    <t>Previous Employer - 2</t>
  </si>
  <si>
    <t>Previous Employer - 3</t>
  </si>
  <si>
    <t>Family Details</t>
  </si>
  <si>
    <t>Language</t>
  </si>
  <si>
    <t>Career Mobility</t>
  </si>
  <si>
    <t>Would you consider career mobility within India?</t>
  </si>
  <si>
    <t>Would you consider career mobility outside India?</t>
  </si>
  <si>
    <t>Please use the below space for any other information which you consider to be relevant to your application. It may inculde major leisure interests, social and sporting activities.</t>
  </si>
  <si>
    <t>Additional Information</t>
  </si>
  <si>
    <t>1. Are you currently engaged in any other business either as a proprietor, partner, officer, director, trustee, employee, and agent or otherwise?</t>
  </si>
  <si>
    <t xml:space="preserve">2. Have you ever been convicted of a criminal offence or are there any criminal prosecutions against you pending?  </t>
  </si>
  <si>
    <t xml:space="preserve">3. Have you ever been declared bankrupt or had a bankruptcy petition made against you?   </t>
  </si>
  <si>
    <t xml:space="preserve">4. Have you ever had any civil judgments made against you or are there any civil cases pending against you? </t>
  </si>
  <si>
    <t xml:space="preserve">5. Do you know or are you related to anyone who works for the company? </t>
  </si>
  <si>
    <t>6. Have you ever been refused entry to any country?</t>
  </si>
  <si>
    <t xml:space="preserve">7. Have you ever been disqualified from acting as a Director? </t>
  </si>
  <si>
    <t>8. Have you ever been disciplined or fined or convicted by any regulatory body or any stock exchange?</t>
  </si>
  <si>
    <t>Information Release Form :</t>
  </si>
  <si>
    <t>To Whom It May Concern:</t>
  </si>
  <si>
    <r>
      <rPr>
        <sz val="11"/>
        <rFont val="Calibri"/>
        <family val="2"/>
      </rPr>
      <t xml:space="preserve">
To BNP Paribas India Solutions Private Limited
</t>
    </r>
    <r>
      <rPr>
        <sz val="10"/>
        <rFont val="Calibri"/>
        <family val="2"/>
        <scheme val="minor"/>
      </rPr>
      <t xml:space="preserve">
</t>
    </r>
  </si>
  <si>
    <t>Dear Sir/Madam,</t>
  </si>
  <si>
    <t>I hereby authorize BNP Paribas India Solutions Private Limited and their agents, First Advantage Limited (the “Service Provider”), a subsidiary of First Advantage, or any other service provider as determined by BNP Paribas India Solutions Private Limited to conduct background checks, both verbal and written, on the information I have provided in the Application Form and any other matter BNP Paribas India Solutions Private Limited or such agent considers relevant. I understand that the background checks may include details regarding identity, education, professional qualifications and regulatory licensing history, previous employment and remuneration, criminal, civil and bankruptcy background and other details.</t>
  </si>
  <si>
    <t>I authorize all persons who may have information relevant to this enquiry to disclose it to BNP Paribas India Solutions Private Limited or the Service Provider or such person authorized by BNP Paribas India Solutions Private Limited or the Services Provider, as the case may be.  I release all persons from liability on account of such disclosure.</t>
  </si>
  <si>
    <t>I am willing that a photocopy of this authorization be accepted with the same authority as the original.</t>
  </si>
  <si>
    <t>I acknowledge that the information, including any personal data, obtained from or in connection with such enhanced background check will be used for purposes connected with my candidature for employment or my subsequent employment with the BNP Paribas Group including, without limitation, for the purposes of assessing and confirming my integrity, suitability and eligibility for employment or performing certain roles.</t>
  </si>
  <si>
    <t>I am willing for BNP Paribas India Solutions Private Limited to disclose information to its external consultants or advisors as may be necessary.</t>
  </si>
  <si>
    <t>I further acknowledge that BNP Paribas Group may be required under any law or regulation governing such BNP Paribas Group entity or pursuant to a court or regulatory or statutory order in the relevant jurisdiction (“Order”) to disclose any information collated or collected in the course of the background check. I hereby authorize BNP Paribas Group to, and BNP Paribas Group may without any liability, disclose such information, as may be required by such law, regulation or pursuant to any Order in the relevant jurisdiction.</t>
  </si>
  <si>
    <t>Yours Sincerely,</t>
  </si>
  <si>
    <t>Signature</t>
  </si>
  <si>
    <t>Date</t>
  </si>
  <si>
    <t>Have you ever been known by another name?</t>
  </si>
  <si>
    <r>
      <t>If  Yes, Kindly provide us with the relevant details</t>
    </r>
    <r>
      <rPr>
        <sz val="11"/>
        <rFont val="Calibri"/>
        <family val="2"/>
      </rPr>
      <t xml:space="preserve"> below</t>
    </r>
  </si>
  <si>
    <t>E1</t>
  </si>
  <si>
    <t>E2</t>
  </si>
  <si>
    <t>E3</t>
  </si>
  <si>
    <t>E4</t>
  </si>
  <si>
    <t>A5</t>
  </si>
  <si>
    <t>C5</t>
  </si>
  <si>
    <t>D5</t>
  </si>
  <si>
    <t>Enable Macro to load application form</t>
  </si>
  <si>
    <t>A7</t>
  </si>
  <si>
    <t>B7</t>
  </si>
  <si>
    <t>C7</t>
  </si>
  <si>
    <t>D7</t>
  </si>
  <si>
    <t>A9</t>
  </si>
  <si>
    <t>B9</t>
  </si>
  <si>
    <t>C9</t>
  </si>
  <si>
    <t>D9</t>
  </si>
  <si>
    <t>B14</t>
  </si>
  <si>
    <t>A15</t>
  </si>
  <si>
    <t>B15</t>
  </si>
  <si>
    <t>D14</t>
  </si>
  <si>
    <t>Residing Till</t>
  </si>
  <si>
    <t>E14</t>
  </si>
  <si>
    <t>B16</t>
  </si>
  <si>
    <t>A17</t>
  </si>
  <si>
    <t>B17</t>
  </si>
  <si>
    <t>D16</t>
  </si>
  <si>
    <t>E16</t>
  </si>
  <si>
    <t>A26</t>
  </si>
  <si>
    <t>A27</t>
  </si>
  <si>
    <t>A29</t>
  </si>
  <si>
    <t>E41</t>
  </si>
  <si>
    <t>If No, how many employers have you worked with</t>
  </si>
  <si>
    <t>E42</t>
  </si>
  <si>
    <t>Would you consider mobility within India?</t>
  </si>
  <si>
    <t>Would you consider mobility outside India?</t>
  </si>
  <si>
    <t>E107</t>
  </si>
  <si>
    <t>E108</t>
  </si>
  <si>
    <t>B44</t>
  </si>
  <si>
    <t>B45</t>
  </si>
  <si>
    <t>B47</t>
  </si>
  <si>
    <t>B49</t>
  </si>
  <si>
    <t>C49</t>
  </si>
  <si>
    <t>B50</t>
  </si>
  <si>
    <t>B51</t>
  </si>
  <si>
    <t>B52</t>
  </si>
  <si>
    <t>B53</t>
  </si>
  <si>
    <t>B54</t>
  </si>
  <si>
    <t>B55</t>
  </si>
  <si>
    <t>B56</t>
  </si>
  <si>
    <t>B57</t>
  </si>
  <si>
    <t>B58</t>
  </si>
  <si>
    <t>B59</t>
  </si>
  <si>
    <t>B60</t>
  </si>
  <si>
    <t>B61</t>
  </si>
  <si>
    <t>B62</t>
  </si>
  <si>
    <t>B63</t>
  </si>
  <si>
    <t>B64</t>
  </si>
  <si>
    <t>D44</t>
  </si>
  <si>
    <t>D45</t>
  </si>
  <si>
    <t>D47</t>
  </si>
  <si>
    <t>D49</t>
  </si>
  <si>
    <t>E49</t>
  </si>
  <si>
    <t>D50</t>
  </si>
  <si>
    <t>D51</t>
  </si>
  <si>
    <t>D52</t>
  </si>
  <si>
    <t>D53</t>
  </si>
  <si>
    <t>D54</t>
  </si>
  <si>
    <t>D55</t>
  </si>
  <si>
    <t>D56</t>
  </si>
  <si>
    <t>D57</t>
  </si>
  <si>
    <t>D58</t>
  </si>
  <si>
    <t>D59</t>
  </si>
  <si>
    <t>D60</t>
  </si>
  <si>
    <t>D61</t>
  </si>
  <si>
    <t>D62</t>
  </si>
  <si>
    <t>D63</t>
  </si>
  <si>
    <t>D64</t>
  </si>
  <si>
    <t>B66</t>
  </si>
  <si>
    <t>B67</t>
  </si>
  <si>
    <t>B69</t>
  </si>
  <si>
    <t>B71</t>
  </si>
  <si>
    <t>C71</t>
  </si>
  <si>
    <t>B72</t>
  </si>
  <si>
    <t>B73</t>
  </si>
  <si>
    <t>B74</t>
  </si>
  <si>
    <t>B75</t>
  </si>
  <si>
    <t>B76</t>
  </si>
  <si>
    <t>B77</t>
  </si>
  <si>
    <t>B78</t>
  </si>
  <si>
    <t>B79</t>
  </si>
  <si>
    <t>B80</t>
  </si>
  <si>
    <t>B81</t>
  </si>
  <si>
    <t>B82</t>
  </si>
  <si>
    <t>B83</t>
  </si>
  <si>
    <t>B84</t>
  </si>
  <si>
    <t>B85</t>
  </si>
  <si>
    <t>B86</t>
  </si>
  <si>
    <t>D66</t>
  </si>
  <si>
    <t>D67</t>
  </si>
  <si>
    <t>D69</t>
  </si>
  <si>
    <t>D71</t>
  </si>
  <si>
    <t>E71</t>
  </si>
  <si>
    <t>D72</t>
  </si>
  <si>
    <t>D73</t>
  </si>
  <si>
    <t>D74</t>
  </si>
  <si>
    <t>D75</t>
  </si>
  <si>
    <t>D76</t>
  </si>
  <si>
    <t>D77</t>
  </si>
  <si>
    <t>D78</t>
  </si>
  <si>
    <t>D79</t>
  </si>
  <si>
    <t>D80</t>
  </si>
  <si>
    <t>D81</t>
  </si>
  <si>
    <t>D82</t>
  </si>
  <si>
    <t>D83</t>
  </si>
  <si>
    <t>D84</t>
  </si>
  <si>
    <t>D85</t>
  </si>
  <si>
    <t>D86</t>
  </si>
  <si>
    <t>Relationship :</t>
  </si>
  <si>
    <t>Mobile Phone :</t>
  </si>
  <si>
    <t>Name :</t>
  </si>
  <si>
    <t>Designation :</t>
  </si>
  <si>
    <t>Direct line :</t>
  </si>
  <si>
    <t>Email ID :</t>
  </si>
  <si>
    <t xml:space="preserve">
Photograph
</t>
  </si>
  <si>
    <t>Full Name :</t>
  </si>
  <si>
    <t>Marital Status</t>
  </si>
  <si>
    <t>If yes to any of the above questions, please give details in the space provided below :</t>
  </si>
  <si>
    <t>If "Yes" to any of the questions under "Additional Information" section, please give details in the space provided</t>
  </si>
  <si>
    <t>E25</t>
  </si>
  <si>
    <t>E26</t>
  </si>
  <si>
    <t>E27</t>
  </si>
  <si>
    <t>C28</t>
  </si>
  <si>
    <t>What other name you were known by, kindly specify</t>
  </si>
  <si>
    <t>If in case you have worked with more employers than mentioned above, please provide the details in a separate page.</t>
  </si>
  <si>
    <t xml:space="preserve">Address 
Boardline
</t>
  </si>
  <si>
    <t>Occupation</t>
  </si>
  <si>
    <t>Dependent (Yes/No)</t>
  </si>
  <si>
    <t>Read</t>
  </si>
  <si>
    <t>Write</t>
  </si>
  <si>
    <t>Speak</t>
  </si>
  <si>
    <t>Understand</t>
  </si>
  <si>
    <t>E114</t>
  </si>
  <si>
    <t>E115</t>
  </si>
  <si>
    <t>E116</t>
  </si>
  <si>
    <t>E117</t>
  </si>
  <si>
    <t>E118</t>
  </si>
  <si>
    <t>E119</t>
  </si>
  <si>
    <t>E120</t>
  </si>
  <si>
    <t>E121</t>
  </si>
  <si>
    <t>B140</t>
  </si>
  <si>
    <t>Name (on the Last Page)</t>
  </si>
  <si>
    <t>Date (on the Last Page)</t>
  </si>
  <si>
    <t>B141</t>
  </si>
  <si>
    <t xml:space="preserve">6. Were you acquainted with anyone who works for the company? </t>
  </si>
  <si>
    <t>7. Have you ever been refused entry to any country?</t>
  </si>
  <si>
    <t xml:space="preserve">8. Have you ever been disqualified from acting as a Director? </t>
  </si>
  <si>
    <t>9. Have you ever been disciplined or fined or convicted by any regulatory body or any stock exchange?</t>
  </si>
  <si>
    <t>E122</t>
  </si>
  <si>
    <t>I122</t>
  </si>
  <si>
    <t>B142</t>
  </si>
  <si>
    <t>A144</t>
  </si>
  <si>
    <t xml:space="preserve">Landline : </t>
  </si>
  <si>
    <t>Address Boardline</t>
  </si>
  <si>
    <t xml:space="preserve">                                                                Employment Form</t>
  </si>
  <si>
    <t xml:space="preserve">5. Are you related to anyone who works/worked for the company? </t>
  </si>
  <si>
    <t xml:space="preserve">6. Do you have friends/acquaintance who works/worked for the company? </t>
  </si>
  <si>
    <r>
      <t xml:space="preserve">Work Experience
</t>
    </r>
    <r>
      <rPr>
        <sz val="10"/>
        <color theme="0"/>
        <rFont val="Calibri"/>
        <family val="2"/>
      </rPr>
      <t>(Chronologically, starting with the most recent)</t>
    </r>
  </si>
  <si>
    <r>
      <rPr>
        <b/>
        <sz val="11"/>
        <color theme="0"/>
        <rFont val="Calibri"/>
        <family val="2"/>
      </rPr>
      <t>Educational and Professional Qualifications</t>
    </r>
    <r>
      <rPr>
        <b/>
        <sz val="10"/>
        <color theme="0"/>
        <rFont val="Calibri"/>
        <family val="2"/>
      </rPr>
      <t xml:space="preserve">
</t>
    </r>
    <r>
      <rPr>
        <sz val="10"/>
        <color theme="0"/>
        <rFont val="Calibri"/>
        <family val="2"/>
      </rPr>
      <t>(Chronologically, starting with the most recent)</t>
    </r>
  </si>
  <si>
    <r>
      <t xml:space="preserve">Address Details
</t>
    </r>
    <r>
      <rPr>
        <sz val="10"/>
        <color theme="0"/>
        <rFont val="Calibri"/>
        <family val="2"/>
      </rPr>
      <t>(Please provide address details from the time of your Graduation, use separate page if required)</t>
    </r>
  </si>
  <si>
    <r>
      <t xml:space="preserve">Languages Known by You
</t>
    </r>
    <r>
      <rPr>
        <sz val="10"/>
        <color theme="0"/>
        <rFont val="Calibri"/>
        <family val="2"/>
      </rPr>
      <t xml:space="preserve">(Indicate degree of fluency on a scale of 1 &lt;Low&gt; to 4 &lt;High&gt;, please select)  </t>
    </r>
  </si>
  <si>
    <t>Vishal</t>
  </si>
  <si>
    <t>Sureshchandra</t>
  </si>
  <si>
    <t>Jain</t>
  </si>
  <si>
    <t>Suresh Uttamchand Jain</t>
  </si>
  <si>
    <t>Male</t>
  </si>
  <si>
    <t>Single</t>
  </si>
  <si>
    <t>Jalgaon</t>
  </si>
  <si>
    <t>vishal6jain@gmail.com</t>
  </si>
  <si>
    <t>B+ve</t>
  </si>
  <si>
    <t>Indian</t>
  </si>
  <si>
    <t>Maharashtra</t>
  </si>
  <si>
    <t>AKZPJ2990B</t>
  </si>
  <si>
    <t>J8391634</t>
  </si>
  <si>
    <t>24/B SaiSadan Apartment Flat No 206 Mahada Chandivali Near Dmart</t>
  </si>
  <si>
    <t>Mumbai Maharashtra</t>
  </si>
  <si>
    <t>Rent</t>
  </si>
  <si>
    <t>402, Marudhar Residency, Near Jain Bhavan, Grahakul Society, MIDC</t>
  </si>
  <si>
    <t>Jalgaon Maharashtra</t>
  </si>
  <si>
    <t>Owned</t>
  </si>
  <si>
    <t>No</t>
  </si>
  <si>
    <t>Full Name : Yogesh Sureshchandra Jain</t>
  </si>
  <si>
    <t>Relationship : Brother</t>
  </si>
  <si>
    <t>Mobile Phone : 919850895520</t>
  </si>
  <si>
    <t>Mahavir Educational &amp; Research Trust, 18/B, Patel Estate Road, Pushtikar Society, Jogeshwari West</t>
  </si>
  <si>
    <t>9, Anuj Apartment, Near Vasan Eye Care Hospital, GA Kulkarni Path, Next to Sangam Press, Kothrud</t>
  </si>
  <si>
    <t>Pune Maharashtra</t>
  </si>
  <si>
    <t>BITS Pilani</t>
  </si>
  <si>
    <t>MS (Software Engineering)</t>
  </si>
  <si>
    <t>2012HS93027</t>
  </si>
  <si>
    <t>07/2014</t>
  </si>
  <si>
    <t>Fr. Conceicao Rodrigues College Of Engineering Bandra West / Mumbai University</t>
  </si>
  <si>
    <t>Computer Engineering</t>
  </si>
  <si>
    <t>05/2011</t>
  </si>
  <si>
    <t>JP Morgan Services India</t>
  </si>
  <si>
    <t>2nd Floor, Ventura Tower, Powai, Hiranandani Business Park, Central Avenue</t>
  </si>
  <si>
    <t>R567721</t>
  </si>
  <si>
    <t>Name : Palash Garg</t>
  </si>
  <si>
    <t>Designation : Associate</t>
  </si>
  <si>
    <t>Mobile Phone : 919820028094</t>
  </si>
  <si>
    <t>Direct line : 912261268253</t>
  </si>
  <si>
    <t>Email ID : palash.x.garg@jpmorgan.com</t>
  </si>
  <si>
    <t>Name : Jadhav Manohar</t>
  </si>
  <si>
    <t>Designation : VP</t>
  </si>
  <si>
    <t>Direct line : 912261267105</t>
  </si>
  <si>
    <t>Email ID : manohar.jadhav@jpmchase.com</t>
  </si>
  <si>
    <t>Associate</t>
  </si>
  <si>
    <t>11,00,000</t>
  </si>
  <si>
    <t>2,25,000</t>
  </si>
  <si>
    <t>Looking for more responsibilty and role</t>
  </si>
  <si>
    <t>Name : Ankita Kachare</t>
  </si>
  <si>
    <t>Designation : Executive - HR</t>
  </si>
  <si>
    <t xml:space="preserve">Direct line : </t>
  </si>
  <si>
    <t>Email ID : ankita_kachare@persistent.co.in</t>
  </si>
  <si>
    <t>Name : Sumit Tandon</t>
  </si>
  <si>
    <t>Designation : Module Lead</t>
  </si>
  <si>
    <t>Mobile Phone : 919623176790</t>
  </si>
  <si>
    <t>Email ID : sumittandon16@gmail.com</t>
  </si>
  <si>
    <t>Software Engineer</t>
  </si>
  <si>
    <t>4,38,820</t>
  </si>
  <si>
    <t>For Personal growth</t>
  </si>
  <si>
    <t>Father</t>
  </si>
  <si>
    <t>Shobha Suresh Jain</t>
  </si>
  <si>
    <t>Mother</t>
  </si>
  <si>
    <t>Business</t>
  </si>
  <si>
    <t>Yes</t>
  </si>
  <si>
    <t>HouseWife</t>
  </si>
  <si>
    <t>Yogesh Suresh Jain</t>
  </si>
  <si>
    <t>Elder Brother</t>
  </si>
  <si>
    <t>Manager, ICICI Bank</t>
  </si>
  <si>
    <t>Piyush Suresh Jain</t>
  </si>
  <si>
    <t>English</t>
  </si>
  <si>
    <t>Marathi</t>
  </si>
  <si>
    <t>Marwari</t>
  </si>
  <si>
    <t>Hindi</t>
  </si>
  <si>
    <t>Vishal Sureshchandra Jain</t>
  </si>
  <si>
    <t>till date</t>
  </si>
  <si>
    <t>HSC</t>
  </si>
  <si>
    <t>02/2007</t>
  </si>
  <si>
    <t>SSC</t>
  </si>
  <si>
    <t>03/2005</t>
  </si>
  <si>
    <t>S019975</t>
  </si>
  <si>
    <t>M J College Jalgaon / Nasik Board</t>
  </si>
  <si>
    <t>R R School Jalgaon / Nasik Board</t>
  </si>
  <si>
    <t>D114336</t>
  </si>
  <si>
    <t>Persistent System Limited</t>
  </si>
  <si>
    <t>402 E, Bhageerath, Senapati Bapat Road, Gokhalenagar</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</si>
</sst>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Red]0"/>
  </numFmts>
  <fonts count="28" x14ac:knownFonts="1">
    <font>
      <sz val="11"/>
      <color theme="1"/>
      <name val="Calibri"/>
      <family val="2"/>
      <scheme val="minor"/>
    </font>
    <font>
      <sz val="8"/>
      <color rgb="FF000000"/>
      <name val="Tahoma"/>
      <family val="2"/>
    </font>
    <font>
      <b/>
      <sz val="22"/>
      <color rgb="FF00B050"/>
      <name val="Calibri"/>
      <family val="2"/>
    </font>
    <font>
      <b/>
      <sz val="11"/>
      <name val="Calibri"/>
      <family val="2"/>
    </font>
    <font>
      <sz val="10"/>
      <color rgb="FF000000"/>
      <name val="Calibri"/>
      <family val="2"/>
    </font>
    <font>
      <b/>
      <sz val="11"/>
      <color theme="0"/>
      <name val="Calibri"/>
      <family val="2"/>
    </font>
    <font>
      <sz val="11"/>
      <name val="Calibri"/>
      <family val="2"/>
    </font>
    <font>
      <u/>
      <sz val="10"/>
      <color theme="10"/>
      <name val="Trebuchet MS"/>
      <family val="2"/>
    </font>
    <font>
      <b/>
      <sz val="11"/>
      <color rgb="FF000000"/>
      <name val="Calibri"/>
      <family val="2"/>
    </font>
    <font>
      <sz val="9"/>
      <name val="Calibri"/>
      <family val="2"/>
    </font>
    <font>
      <b/>
      <sz val="10"/>
      <color theme="1"/>
      <name val="Calibri"/>
      <family val="2"/>
    </font>
    <font>
      <sz val="10.5"/>
      <name val="Calibri"/>
      <family val="2"/>
    </font>
    <font>
      <b/>
      <sz val="11"/>
      <color theme="1"/>
      <name val="Calibri"/>
      <family val="2"/>
    </font>
    <font>
      <sz val="9"/>
      <color theme="1" tint="0.34998626667073579"/>
      <name val="Calibri"/>
      <family val="2"/>
    </font>
    <font>
      <b/>
      <sz val="10"/>
      <name val="Calibri"/>
      <family val="2"/>
    </font>
    <font>
      <b/>
      <sz val="8"/>
      <name val="Calibri"/>
      <family val="2"/>
    </font>
    <font>
      <sz val="9"/>
      <name val="Calibri"/>
      <family val="2"/>
      <scheme val="minor"/>
    </font>
    <font>
      <sz val="10"/>
      <name val="Calibri"/>
      <family val="2"/>
    </font>
    <font>
      <sz val="10"/>
      <name val="Calibri"/>
      <family val="2"/>
      <scheme val="minor"/>
    </font>
    <font>
      <sz val="11"/>
      <color rgb="FF000000"/>
      <name val="Calibri"/>
      <family val="2"/>
    </font>
    <font>
      <sz val="8"/>
      <name val="Trebuchet MS"/>
      <family val="2"/>
    </font>
    <font>
      <sz val="18"/>
      <name val="Trebuchet MS"/>
      <family val="2"/>
    </font>
    <font>
      <b/>
      <sz val="10.5"/>
      <color rgb="FF000000"/>
      <name val="Calibri"/>
      <family val="2"/>
    </font>
    <font>
      <b/>
      <sz val="10"/>
      <color theme="0"/>
      <name val="Calibri"/>
      <family val="2"/>
    </font>
    <font>
      <sz val="10"/>
      <color theme="0"/>
      <name val="Calibri"/>
      <family val="2"/>
    </font>
    <font>
      <b/>
      <sz val="10.5"/>
      <name val="Calibri"/>
      <family val="2"/>
    </font>
    <font>
      <sz val="10.5"/>
      <color theme="0" tint="-0.499984740745262"/>
      <name val="Calibri"/>
      <family val="2"/>
    </font>
    <font>
      <sz val="10.5"/>
      <name val="Calibri"/>
      <family val="2"/>
      <scheme val="minor"/>
    </font>
  </fonts>
  <fills count="5">
    <fill>
      <patternFill patternType="none"/>
    </fill>
    <fill>
      <patternFill patternType="gray125"/>
    </fill>
    <fill>
      <patternFill patternType="solid">
        <fgColor rgb="FF00B050"/>
        <bgColor indexed="64"/>
      </patternFill>
    </fill>
    <fill>
      <patternFill patternType="solid">
        <fgColor theme="2"/>
        <bgColor indexed="64"/>
      </patternFill>
    </fill>
    <fill>
      <patternFill patternType="solid">
        <fgColor rgb="FFFFFFC1"/>
        <bgColor indexed="64"/>
      </patternFill>
    </fill>
  </fills>
  <borders count="109">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dotted">
        <color indexed="64"/>
      </right>
      <top/>
      <bottom/>
      <diagonal/>
    </border>
    <border>
      <left style="dotted">
        <color indexed="64"/>
      </left>
      <right/>
      <top/>
      <bottom/>
      <diagonal/>
    </border>
    <border>
      <left style="dotted">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dotted">
        <color indexed="64"/>
      </right>
      <top style="thin">
        <color indexed="64"/>
      </top>
      <bottom style="thin">
        <color indexed="64"/>
      </bottom>
      <diagonal/>
    </border>
    <border>
      <left style="dotted">
        <color indexed="64"/>
      </left>
      <right style="dotted">
        <color indexed="64"/>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style="dotted">
        <color indexed="64"/>
      </left>
      <right style="dotted">
        <color indexed="64"/>
      </right>
      <top style="thin">
        <color indexed="64"/>
      </top>
      <bottom style="medium">
        <color indexed="64"/>
      </bottom>
      <diagonal/>
    </border>
    <border>
      <left/>
      <right/>
      <top style="medium">
        <color indexed="64"/>
      </top>
      <bottom/>
      <diagonal/>
    </border>
    <border>
      <left style="medium">
        <color indexed="64"/>
      </left>
      <right/>
      <top/>
      <bottom style="thin">
        <color indexed="64"/>
      </bottom>
      <diagonal/>
    </border>
    <border>
      <left/>
      <right/>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dotted">
        <color indexed="64"/>
      </bottom>
      <diagonal/>
    </border>
    <border>
      <left/>
      <right style="medium">
        <color indexed="64"/>
      </right>
      <top style="medium">
        <color indexed="64"/>
      </top>
      <bottom style="dotted">
        <color indexed="64"/>
      </bottom>
      <diagonal/>
    </border>
    <border>
      <left/>
      <right style="dotted">
        <color indexed="64"/>
      </right>
      <top style="medium">
        <color indexed="64"/>
      </top>
      <bottom style="dotted">
        <color indexed="64"/>
      </bottom>
      <diagonal/>
    </border>
    <border>
      <left style="medium">
        <color indexed="64"/>
      </left>
      <right/>
      <top style="dotted">
        <color indexed="64"/>
      </top>
      <bottom style="dotted">
        <color indexed="64"/>
      </bottom>
      <diagonal/>
    </border>
    <border>
      <left/>
      <right style="medium">
        <color indexed="64"/>
      </right>
      <top style="dotted">
        <color indexed="64"/>
      </top>
      <bottom style="dotted">
        <color indexed="64"/>
      </bottom>
      <diagonal/>
    </border>
    <border>
      <left style="medium">
        <color indexed="64"/>
      </left>
      <right/>
      <top style="dotted">
        <color indexed="64"/>
      </top>
      <bottom/>
      <diagonal/>
    </border>
    <border>
      <left/>
      <right style="dotted">
        <color indexed="64"/>
      </right>
      <top style="dotted">
        <color indexed="64"/>
      </top>
      <bottom/>
      <diagonal/>
    </border>
    <border>
      <left style="medium">
        <color indexed="64"/>
      </left>
      <right/>
      <top/>
      <bottom style="dotted">
        <color indexed="64"/>
      </bottom>
      <diagonal/>
    </border>
    <border>
      <left/>
      <right style="dotted">
        <color indexed="64"/>
      </right>
      <top/>
      <bottom style="dotted">
        <color indexed="64"/>
      </bottom>
      <diagonal/>
    </border>
    <border>
      <left/>
      <right/>
      <top style="dotted">
        <color indexed="64"/>
      </top>
      <bottom/>
      <diagonal/>
    </border>
    <border>
      <left style="medium">
        <color indexed="64"/>
      </left>
      <right/>
      <top style="dotted">
        <color indexed="64"/>
      </top>
      <bottom style="medium">
        <color indexed="64"/>
      </bottom>
      <diagonal/>
    </border>
    <border>
      <left/>
      <right style="medium">
        <color indexed="64"/>
      </right>
      <top style="dotted">
        <color indexed="64"/>
      </top>
      <bottom style="medium">
        <color indexed="64"/>
      </bottom>
      <diagonal/>
    </border>
    <border>
      <left style="medium">
        <color indexed="64"/>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medium">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medium">
        <color indexed="64"/>
      </left>
      <right style="dotted">
        <color indexed="64"/>
      </right>
      <top style="dotted">
        <color indexed="64"/>
      </top>
      <bottom/>
      <diagonal/>
    </border>
    <border>
      <left style="dotted">
        <color indexed="64"/>
      </left>
      <right style="dotted">
        <color indexed="64"/>
      </right>
      <top style="dotted">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tted">
        <color indexed="64"/>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dotted">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style="thin">
        <color indexed="64"/>
      </left>
      <right style="dotted">
        <color indexed="64"/>
      </right>
      <top style="thin">
        <color indexed="64"/>
      </top>
      <bottom style="dotted">
        <color indexed="64"/>
      </bottom>
      <diagonal/>
    </border>
    <border>
      <left style="dotted">
        <color indexed="64"/>
      </left>
      <right style="thin">
        <color indexed="64"/>
      </right>
      <top style="thin">
        <color indexed="64"/>
      </top>
      <bottom style="dotted">
        <color indexed="64"/>
      </bottom>
      <diagonal/>
    </border>
    <border>
      <left style="thin">
        <color indexed="64"/>
      </left>
      <right style="dotted">
        <color indexed="64"/>
      </right>
      <top style="dotted">
        <color indexed="64"/>
      </top>
      <bottom style="thin">
        <color indexed="64"/>
      </bottom>
      <diagonal/>
    </border>
    <border>
      <left style="dotted">
        <color indexed="64"/>
      </left>
      <right style="thin">
        <color indexed="64"/>
      </right>
      <top style="dotted">
        <color indexed="64"/>
      </top>
      <bottom style="thin">
        <color indexed="64"/>
      </bottom>
      <diagonal/>
    </border>
    <border>
      <left style="thin">
        <color indexed="64"/>
      </left>
      <right/>
      <top style="thin">
        <color indexed="64"/>
      </top>
      <bottom style="dotted">
        <color indexed="64"/>
      </bottom>
      <diagonal/>
    </border>
    <border>
      <left/>
      <right style="thin">
        <color indexed="64"/>
      </right>
      <top style="thin">
        <color indexed="64"/>
      </top>
      <bottom style="dotted">
        <color indexed="64"/>
      </bottom>
      <diagonal/>
    </border>
    <border>
      <left style="medium">
        <color indexed="64"/>
      </left>
      <right style="thin">
        <color indexed="64"/>
      </right>
      <top/>
      <bottom/>
      <diagonal/>
    </border>
    <border>
      <left style="thin">
        <color indexed="64"/>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top style="dotted">
        <color indexed="64"/>
      </top>
      <bottom style="thin">
        <color indexed="64"/>
      </bottom>
      <diagonal/>
    </border>
    <border>
      <left/>
      <right style="thin">
        <color indexed="64"/>
      </right>
      <top style="dotted">
        <color indexed="64"/>
      </top>
      <bottom style="thin">
        <color indexed="64"/>
      </bottom>
      <diagonal/>
    </border>
    <border>
      <left/>
      <right style="medium">
        <color indexed="64"/>
      </right>
      <top style="thin">
        <color indexed="64"/>
      </top>
      <bottom style="thin">
        <color indexed="64"/>
      </bottom>
      <diagonal/>
    </border>
    <border>
      <left/>
      <right style="dotted">
        <color indexed="64"/>
      </right>
      <top style="thin">
        <color indexed="64"/>
      </top>
      <bottom style="dotted">
        <color indexed="64"/>
      </bottom>
      <diagonal/>
    </border>
    <border>
      <left/>
      <right style="dotted">
        <color indexed="64"/>
      </right>
      <top style="dotted">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dotted">
        <color indexed="64"/>
      </left>
      <right style="medium">
        <color indexed="64"/>
      </right>
      <top style="medium">
        <color indexed="64"/>
      </top>
      <bottom style="dotted">
        <color indexed="64"/>
      </bottom>
      <diagonal/>
    </border>
    <border>
      <left style="dotted">
        <color indexed="64"/>
      </left>
      <right style="medium">
        <color indexed="64"/>
      </right>
      <top style="dotted">
        <color indexed="64"/>
      </top>
      <bottom style="dotted">
        <color indexed="64"/>
      </bottom>
      <diagonal/>
    </border>
    <border>
      <left style="medium">
        <color indexed="64"/>
      </left>
      <right style="dotted">
        <color indexed="64"/>
      </right>
      <top style="dotted">
        <color indexed="64"/>
      </top>
      <bottom style="medium">
        <color indexed="64"/>
      </bottom>
      <diagonal/>
    </border>
    <border>
      <left style="dotted">
        <color indexed="64"/>
      </left>
      <right style="dotted">
        <color indexed="64"/>
      </right>
      <top style="dotted">
        <color indexed="64"/>
      </top>
      <bottom style="medium">
        <color indexed="64"/>
      </bottom>
      <diagonal/>
    </border>
    <border>
      <left style="dotted">
        <color indexed="64"/>
      </left>
      <right style="medium">
        <color indexed="64"/>
      </right>
      <top style="dotted">
        <color indexed="64"/>
      </top>
      <bottom style="medium">
        <color indexed="64"/>
      </bottom>
      <diagonal/>
    </border>
    <border>
      <left/>
      <right/>
      <top style="thin">
        <color indexed="64"/>
      </top>
      <bottom style="medium">
        <color indexed="64"/>
      </bottom>
      <diagonal/>
    </border>
    <border>
      <left/>
      <right style="dotted">
        <color indexed="64"/>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dotted">
        <color indexed="64"/>
      </left>
      <right style="medium">
        <color indexed="64"/>
      </right>
      <top/>
      <bottom style="dotted">
        <color indexed="64"/>
      </bottom>
      <diagonal/>
    </border>
    <border>
      <left/>
      <right style="medium">
        <color indexed="64"/>
      </right>
      <top style="thin">
        <color indexed="64"/>
      </top>
      <bottom/>
      <diagonal/>
    </border>
    <border>
      <left/>
      <right style="medium">
        <color indexed="64"/>
      </right>
      <top/>
      <bottom style="thin">
        <color indexed="64"/>
      </bottom>
      <diagonal/>
    </border>
    <border>
      <left style="dotted">
        <color indexed="64"/>
      </left>
      <right style="medium">
        <color indexed="64"/>
      </right>
      <top style="thin">
        <color indexed="64"/>
      </top>
      <bottom style="dotted">
        <color indexed="64"/>
      </bottom>
      <diagonal/>
    </border>
    <border>
      <left style="dotted">
        <color indexed="64"/>
      </left>
      <right style="medium">
        <color indexed="64"/>
      </right>
      <top style="dotted">
        <color indexed="64"/>
      </top>
      <bottom style="thin">
        <color indexed="64"/>
      </bottom>
      <diagonal/>
    </border>
    <border>
      <left/>
      <right style="medium">
        <color indexed="64"/>
      </right>
      <top style="thin">
        <color indexed="64"/>
      </top>
      <bottom style="dotted">
        <color indexed="64"/>
      </bottom>
      <diagonal/>
    </border>
    <border>
      <left/>
      <right style="medium">
        <color indexed="64"/>
      </right>
      <top style="dotted">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dotted">
        <color indexed="64"/>
      </top>
      <bottom style="medium">
        <color indexed="64"/>
      </bottom>
      <diagonal/>
    </border>
    <border>
      <left style="medium">
        <color indexed="64"/>
      </left>
      <right style="medium">
        <color indexed="64"/>
      </right>
      <top/>
      <bottom style="dotted">
        <color indexed="64"/>
      </bottom>
      <diagonal/>
    </border>
    <border>
      <left style="medium">
        <color indexed="64"/>
      </left>
      <right style="medium">
        <color indexed="64"/>
      </right>
      <top style="dotted">
        <color indexed="64"/>
      </top>
      <bottom style="dotted">
        <color indexed="64"/>
      </bottom>
      <diagonal/>
    </border>
    <border>
      <left style="thin">
        <color indexed="64"/>
      </left>
      <right style="medium">
        <color indexed="64"/>
      </right>
      <top/>
      <bottom style="thin">
        <color indexed="64"/>
      </bottom>
      <diagonal/>
    </border>
    <border>
      <left style="dotted">
        <color indexed="64"/>
      </left>
      <right style="medium">
        <color indexed="64"/>
      </right>
      <top/>
      <bottom/>
      <diagonal/>
    </border>
    <border>
      <left style="thin">
        <color indexed="64"/>
      </left>
      <right style="medium">
        <color indexed="64"/>
      </right>
      <top style="thin">
        <color indexed="64"/>
      </top>
      <bottom style="thin">
        <color indexed="64"/>
      </bottom>
      <diagonal/>
    </border>
    <border>
      <left style="dotted">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dotted">
        <color indexed="64"/>
      </bottom>
      <diagonal/>
    </border>
    <border>
      <left style="dotted">
        <color indexed="64"/>
      </left>
      <right style="medium">
        <color indexed="64"/>
      </right>
      <top style="thin">
        <color indexed="64"/>
      </top>
      <bottom style="thin">
        <color indexed="64"/>
      </bottom>
      <diagonal/>
    </border>
    <border>
      <left style="dotted">
        <color indexed="64"/>
      </left>
      <right style="medium">
        <color indexed="64"/>
      </right>
      <top style="thin">
        <color indexed="64"/>
      </top>
      <bottom/>
      <diagonal/>
    </border>
    <border>
      <left/>
      <right style="medium">
        <color indexed="64"/>
      </right>
      <top/>
      <bottom style="medium">
        <color indexed="64"/>
      </bottom>
      <diagonal/>
    </border>
    <border>
      <left style="dotted">
        <color indexed="64"/>
      </left>
      <right style="medium">
        <color indexed="64"/>
      </right>
      <top style="medium">
        <color indexed="64"/>
      </top>
      <bottom/>
      <diagonal/>
    </border>
    <border>
      <left/>
      <right style="medium">
        <color indexed="64"/>
      </right>
      <top style="dotted">
        <color indexed="64"/>
      </top>
      <bottom/>
      <diagonal/>
    </border>
    <border>
      <left style="medium">
        <color indexed="64"/>
      </left>
      <right style="dotted">
        <color indexed="64"/>
      </right>
      <top/>
      <bottom style="dotted">
        <color indexed="64"/>
      </bottom>
      <diagonal/>
    </border>
    <border>
      <left style="dotted">
        <color indexed="64"/>
      </left>
      <right style="dotted">
        <color indexed="64"/>
      </right>
      <top/>
      <bottom style="dotted">
        <color indexed="64"/>
      </bottom>
      <diagonal/>
    </border>
    <border>
      <left/>
      <right style="medium">
        <color indexed="64"/>
      </right>
      <top/>
      <bottom style="dotted">
        <color indexed="64"/>
      </bottom>
      <diagonal/>
    </border>
  </borders>
  <cellStyleXfs count="2">
    <xf numFmtId="0" fontId="0" fillId="0" borderId="0"/>
    <xf numFmtId="0" fontId="7" fillId="0" borderId="0" applyNumberFormat="0" applyFill="0" applyBorder="0" applyAlignment="0" applyProtection="0"/>
  </cellStyleXfs>
  <cellXfs count="265">
    <xf numFmtId="0" fontId="0" fillId="0" borderId="0" xfId="0"/>
    <xf numFmtId="0" fontId="3" fillId="0" borderId="6" xfId="0" applyFont="1" applyBorder="1" applyAlignment="1" applyProtection="1">
      <alignment horizontal="left" vertical="center" wrapText="1"/>
    </xf>
    <xf numFmtId="0" fontId="3" fillId="0" borderId="7" xfId="0" applyFont="1" applyBorder="1" applyAlignment="1" applyProtection="1">
      <alignment horizontal="left" vertical="center" wrapText="1"/>
    </xf>
    <xf numFmtId="0" fontId="3" fillId="0" borderId="8" xfId="0" applyFont="1" applyBorder="1" applyAlignment="1" applyProtection="1">
      <alignment horizontal="left" vertical="center" wrapText="1"/>
    </xf>
    <xf numFmtId="0" fontId="3" fillId="0" borderId="12" xfId="0" applyFont="1" applyBorder="1" applyAlignment="1" applyProtection="1">
      <alignment horizontal="left" vertical="center" wrapText="1"/>
    </xf>
    <xf numFmtId="0" fontId="3" fillId="0" borderId="13" xfId="0" applyFont="1" applyBorder="1" applyAlignment="1" applyProtection="1">
      <alignment horizontal="left" vertical="center" wrapText="1"/>
    </xf>
    <xf numFmtId="0" fontId="3" fillId="0" borderId="13" xfId="0" applyFont="1" applyFill="1" applyBorder="1" applyAlignment="1" applyProtection="1">
      <alignment horizontal="left" vertical="center" wrapText="1"/>
    </xf>
    <xf numFmtId="0" fontId="3" fillId="0" borderId="12" xfId="0" applyFont="1" applyBorder="1" applyAlignment="1" applyProtection="1">
      <alignment horizontal="left" vertical="center"/>
    </xf>
    <xf numFmtId="0" fontId="8" fillId="0" borderId="13" xfId="0" applyFont="1" applyBorder="1" applyAlignment="1" applyProtection="1">
      <alignment horizontal="left" vertical="center"/>
    </xf>
    <xf numFmtId="0" fontId="10" fillId="0" borderId="17" xfId="0" applyFont="1" applyBorder="1" applyAlignment="1" applyProtection="1">
      <alignment vertical="top"/>
    </xf>
    <xf numFmtId="0" fontId="12" fillId="0" borderId="13" xfId="0" applyFont="1" applyBorder="1" applyAlignment="1" applyProtection="1">
      <alignment horizontal="center" vertical="center"/>
    </xf>
    <xf numFmtId="0" fontId="12" fillId="0" borderId="28" xfId="0" applyFont="1" applyBorder="1" applyAlignment="1" applyProtection="1">
      <alignment horizontal="center" vertical="center"/>
    </xf>
    <xf numFmtId="0" fontId="3" fillId="0" borderId="41" xfId="0" applyFont="1" applyBorder="1" applyAlignment="1" applyProtection="1">
      <alignment horizontal="left" vertical="center" wrapText="1"/>
    </xf>
    <xf numFmtId="0" fontId="3" fillId="0" borderId="42" xfId="0" applyFont="1" applyBorder="1" applyAlignment="1" applyProtection="1">
      <alignment horizontal="left" vertical="center" wrapText="1"/>
    </xf>
    <xf numFmtId="0" fontId="3" fillId="0" borderId="12" xfId="0" applyFont="1" applyBorder="1" applyAlignment="1" applyProtection="1">
      <alignment vertical="center"/>
    </xf>
    <xf numFmtId="0" fontId="8" fillId="0" borderId="42" xfId="0" applyFont="1" applyBorder="1" applyAlignment="1" applyProtection="1">
      <alignment horizontal="left" vertical="center"/>
    </xf>
    <xf numFmtId="0" fontId="18" fillId="0" borderId="17" xfId="0" applyFont="1" applyBorder="1" applyProtection="1"/>
    <xf numFmtId="0" fontId="18" fillId="0" borderId="0" xfId="0" applyFont="1" applyBorder="1" applyProtection="1"/>
    <xf numFmtId="0" fontId="18" fillId="0" borderId="0" xfId="0" applyFont="1" applyBorder="1" applyAlignment="1" applyProtection="1">
      <alignment vertical="center"/>
    </xf>
    <xf numFmtId="0" fontId="6" fillId="0" borderId="17" xfId="0" applyFont="1" applyBorder="1" applyAlignment="1" applyProtection="1">
      <alignment vertical="center"/>
    </xf>
    <xf numFmtId="0" fontId="19" fillId="0" borderId="17" xfId="0" applyFont="1" applyBorder="1" applyAlignment="1" applyProtection="1">
      <alignment vertical="center" wrapText="1"/>
    </xf>
    <xf numFmtId="0" fontId="20" fillId="0" borderId="0" xfId="0" applyFont="1" applyAlignment="1" applyProtection="1">
      <alignment horizontal="center"/>
    </xf>
    <xf numFmtId="0" fontId="0" fillId="3" borderId="0" xfId="0" applyFill="1"/>
    <xf numFmtId="0" fontId="6" fillId="0" borderId="0" xfId="0" applyFont="1" applyBorder="1" applyAlignment="1" applyProtection="1">
      <alignment vertical="center"/>
    </xf>
    <xf numFmtId="0" fontId="8" fillId="0" borderId="41" xfId="0" applyFont="1" applyFill="1" applyBorder="1" applyAlignment="1" applyProtection="1">
      <alignment horizontal="left" vertical="center"/>
    </xf>
    <xf numFmtId="0" fontId="5" fillId="2" borderId="4" xfId="0" applyFont="1" applyFill="1" applyBorder="1" applyAlignment="1" applyProtection="1">
      <alignment horizontal="center" vertical="center"/>
    </xf>
    <xf numFmtId="0" fontId="5" fillId="2" borderId="5" xfId="0" applyFont="1" applyFill="1" applyBorder="1" applyAlignment="1" applyProtection="1">
      <alignment horizontal="center" vertical="center"/>
    </xf>
    <xf numFmtId="0" fontId="3" fillId="0" borderId="94" xfId="0" applyFont="1" applyBorder="1" applyAlignment="1" applyProtection="1">
      <alignment horizontal="left" vertical="center" wrapText="1"/>
    </xf>
    <xf numFmtId="0" fontId="8" fillId="0" borderId="96" xfId="0" applyFont="1" applyBorder="1" applyAlignment="1" applyProtection="1">
      <alignment horizontal="left" vertical="center"/>
    </xf>
    <xf numFmtId="0" fontId="3" fillId="0" borderId="73" xfId="0" applyFont="1" applyBorder="1" applyAlignment="1" applyProtection="1">
      <alignment horizontal="left" vertical="center" wrapText="1"/>
    </xf>
    <xf numFmtId="0" fontId="18" fillId="0" borderId="82" xfId="0" applyFont="1" applyBorder="1" applyAlignment="1" applyProtection="1">
      <alignment vertical="center"/>
    </xf>
    <xf numFmtId="0" fontId="3" fillId="0" borderId="14" xfId="0" applyFont="1" applyBorder="1" applyAlignment="1" applyProtection="1">
      <alignment horizontal="left" vertical="center" wrapText="1"/>
    </xf>
    <xf numFmtId="0" fontId="8" fillId="0" borderId="81" xfId="0" applyFont="1" applyFill="1" applyBorder="1" applyAlignment="1" applyProtection="1">
      <alignment horizontal="left" vertical="center"/>
    </xf>
    <xf numFmtId="0" fontId="3" fillId="0" borderId="106" xfId="0" applyFont="1" applyFill="1" applyBorder="1" applyAlignment="1" applyProtection="1">
      <alignment horizontal="left" vertical="center" wrapText="1"/>
    </xf>
    <xf numFmtId="0" fontId="3" fillId="0" borderId="107" xfId="0" applyFont="1" applyFill="1" applyBorder="1" applyAlignment="1" applyProtection="1">
      <alignment horizontal="left" vertical="center" wrapText="1"/>
    </xf>
    <xf numFmtId="0" fontId="0" fillId="0" borderId="0" xfId="0" applyProtection="1"/>
    <xf numFmtId="0" fontId="0" fillId="0" borderId="0" xfId="0" applyFill="1" applyProtection="1"/>
    <xf numFmtId="0" fontId="6" fillId="0" borderId="0" xfId="0" applyFont="1" applyFill="1" applyBorder="1" applyAlignment="1" applyProtection="1">
      <alignment horizontal="left" vertical="center" wrapText="1"/>
    </xf>
    <xf numFmtId="0" fontId="3" fillId="0" borderId="83" xfId="0" applyFont="1" applyFill="1" applyBorder="1" applyAlignment="1" applyProtection="1">
      <alignment horizontal="left" vertical="center" wrapText="1"/>
    </xf>
    <xf numFmtId="0" fontId="3" fillId="0" borderId="50" xfId="0" applyFont="1" applyBorder="1" applyAlignment="1" applyProtection="1">
      <alignment vertical="center"/>
    </xf>
    <xf numFmtId="0" fontId="0" fillId="0" borderId="0" xfId="0" applyAlignment="1">
      <alignment wrapText="1"/>
    </xf>
    <xf numFmtId="0" fontId="11" fillId="4" borderId="74" xfId="0" applyFont="1" applyFill="1" applyBorder="1" applyAlignment="1" applyProtection="1">
      <alignment horizontal="left" vertical="center" wrapText="1"/>
      <protection locked="0"/>
    </xf>
    <xf numFmtId="0" fontId="11" fillId="4" borderId="77" xfId="0" applyFont="1" applyFill="1" applyBorder="1" applyAlignment="1" applyProtection="1">
      <alignment horizontal="left" vertical="center" wrapText="1"/>
      <protection locked="0"/>
    </xf>
    <xf numFmtId="0" fontId="11" fillId="4" borderId="43" xfId="0" applyFont="1" applyFill="1" applyBorder="1" applyAlignment="1" applyProtection="1">
      <alignment horizontal="left" vertical="center" wrapText="1"/>
      <protection locked="0"/>
    </xf>
    <xf numFmtId="0" fontId="11" fillId="4" borderId="44" xfId="0" applyFont="1" applyFill="1" applyBorder="1" applyAlignment="1" applyProtection="1">
      <alignment horizontal="left" vertical="center" wrapText="1"/>
      <protection locked="0"/>
    </xf>
    <xf numFmtId="0" fontId="11" fillId="4" borderId="75" xfId="0" applyFont="1" applyFill="1" applyBorder="1" applyAlignment="1" applyProtection="1">
      <alignment horizontal="left" vertical="center" wrapText="1"/>
      <protection locked="0"/>
    </xf>
    <xf numFmtId="0" fontId="11" fillId="4" borderId="76" xfId="0" applyFont="1" applyFill="1" applyBorder="1" applyAlignment="1" applyProtection="1">
      <alignment horizontal="left" vertical="center" wrapText="1"/>
      <protection locked="0"/>
    </xf>
    <xf numFmtId="0" fontId="11" fillId="4" borderId="83" xfId="0" applyFont="1" applyFill="1" applyBorder="1" applyAlignment="1" applyProtection="1">
      <alignment horizontal="center" vertical="center" wrapText="1"/>
      <protection locked="0"/>
    </xf>
    <xf numFmtId="0" fontId="11" fillId="4" borderId="74" xfId="0" applyFont="1" applyFill="1" applyBorder="1" applyAlignment="1" applyProtection="1">
      <alignment horizontal="center" vertical="center" wrapText="1"/>
      <protection locked="0"/>
    </xf>
    <xf numFmtId="0" fontId="22" fillId="4" borderId="104" xfId="0" applyFont="1" applyFill="1" applyBorder="1" applyAlignment="1" applyProtection="1">
      <alignment horizontal="left" vertical="center" wrapText="1"/>
      <protection locked="0"/>
    </xf>
    <xf numFmtId="15" fontId="11" fillId="4" borderId="74" xfId="0" applyNumberFormat="1" applyFont="1" applyFill="1" applyBorder="1" applyAlignment="1" applyProtection="1">
      <alignment horizontal="left" vertical="center" wrapText="1"/>
      <protection locked="0"/>
    </xf>
    <xf numFmtId="49" fontId="11" fillId="4" borderId="98" xfId="0" applyNumberFormat="1" applyFont="1" applyFill="1" applyBorder="1" applyAlignment="1" applyProtection="1">
      <alignment horizontal="center" vertical="center" wrapText="1"/>
      <protection locked="0"/>
    </xf>
    <xf numFmtId="0" fontId="11" fillId="4" borderId="96" xfId="0" applyFont="1" applyFill="1" applyBorder="1" applyAlignment="1" applyProtection="1">
      <alignment horizontal="center" vertical="center"/>
      <protection locked="0"/>
    </xf>
    <xf numFmtId="49" fontId="11" fillId="4" borderId="94" xfId="0" applyNumberFormat="1" applyFont="1" applyFill="1" applyBorder="1" applyAlignment="1" applyProtection="1">
      <alignment horizontal="center" vertical="center" wrapText="1"/>
      <protection locked="0"/>
    </xf>
    <xf numFmtId="0" fontId="11" fillId="4" borderId="94" xfId="0" applyFont="1" applyFill="1" applyBorder="1" applyAlignment="1" applyProtection="1">
      <alignment horizontal="center" vertical="center"/>
      <protection locked="0"/>
    </xf>
    <xf numFmtId="49" fontId="11" fillId="4" borderId="96" xfId="0" applyNumberFormat="1" applyFont="1" applyFill="1" applyBorder="1" applyAlignment="1" applyProtection="1">
      <alignment horizontal="center" vertical="center" wrapText="1"/>
      <protection locked="0"/>
    </xf>
    <xf numFmtId="0" fontId="11" fillId="4" borderId="99" xfId="0" applyFont="1" applyFill="1" applyBorder="1" applyAlignment="1" applyProtection="1">
      <alignment horizontal="center" vertical="center"/>
      <protection locked="0"/>
    </xf>
    <xf numFmtId="49" fontId="11" fillId="4" borderId="25" xfId="0" applyNumberFormat="1" applyFont="1" applyFill="1" applyBorder="1" applyAlignment="1" applyProtection="1">
      <alignment horizontal="center" vertical="center" wrapText="1"/>
      <protection locked="0"/>
    </xf>
    <xf numFmtId="1" fontId="11" fillId="4" borderId="22" xfId="0" applyNumberFormat="1" applyFont="1" applyFill="1" applyBorder="1" applyAlignment="1" applyProtection="1">
      <alignment horizontal="left" vertical="center" wrapText="1"/>
      <protection locked="0"/>
    </xf>
    <xf numFmtId="49" fontId="11" fillId="4" borderId="21" xfId="0" applyNumberFormat="1" applyFont="1" applyFill="1" applyBorder="1" applyAlignment="1" applyProtection="1">
      <alignment horizontal="left" vertical="center" wrapText="1"/>
      <protection locked="0"/>
    </xf>
    <xf numFmtId="1" fontId="11" fillId="4" borderId="27" xfId="0" applyNumberFormat="1" applyFont="1" applyFill="1" applyBorder="1" applyAlignment="1" applyProtection="1">
      <alignment horizontal="left" vertical="center" wrapText="1"/>
      <protection locked="0"/>
    </xf>
    <xf numFmtId="49" fontId="11" fillId="4" borderId="26" xfId="0" applyNumberFormat="1" applyFont="1" applyFill="1" applyBorder="1" applyAlignment="1" applyProtection="1">
      <alignment horizontal="left" vertical="center" wrapText="1"/>
      <protection locked="0"/>
    </xf>
    <xf numFmtId="0" fontId="11" fillId="4" borderId="18" xfId="0" applyFont="1" applyFill="1" applyBorder="1" applyAlignment="1" applyProtection="1">
      <alignment horizontal="left" vertical="center" wrapText="1" shrinkToFit="1"/>
      <protection locked="0"/>
    </xf>
    <xf numFmtId="0" fontId="11" fillId="4" borderId="19" xfId="0" applyFont="1" applyFill="1" applyBorder="1" applyAlignment="1" applyProtection="1">
      <alignment horizontal="left" vertical="center" wrapText="1" shrinkToFit="1"/>
      <protection locked="0"/>
    </xf>
    <xf numFmtId="1" fontId="11" fillId="4" borderId="19" xfId="0" applyNumberFormat="1" applyFont="1" applyFill="1" applyBorder="1" applyAlignment="1" applyProtection="1">
      <alignment horizontal="left" vertical="center" wrapText="1"/>
      <protection locked="0"/>
    </xf>
    <xf numFmtId="0" fontId="11" fillId="4" borderId="97" xfId="0" applyFont="1" applyFill="1" applyBorder="1" applyAlignment="1" applyProtection="1">
      <alignment horizontal="left" vertical="center" wrapText="1"/>
      <protection locked="0"/>
    </xf>
    <xf numFmtId="1" fontId="11" fillId="4" borderId="17" xfId="0" applyNumberFormat="1" applyFont="1" applyFill="1" applyBorder="1" applyAlignment="1" applyProtection="1">
      <alignment horizontal="left" vertical="center" wrapText="1" shrinkToFit="1"/>
      <protection locked="0"/>
    </xf>
    <xf numFmtId="0" fontId="11" fillId="4" borderId="11" xfId="0" applyFont="1" applyFill="1" applyBorder="1" applyAlignment="1" applyProtection="1">
      <alignment horizontal="left" vertical="center" wrapText="1" shrinkToFit="1"/>
      <protection locked="0"/>
    </xf>
    <xf numFmtId="0" fontId="11" fillId="4" borderId="16" xfId="0" applyFont="1" applyFill="1" applyBorder="1" applyAlignment="1" applyProtection="1">
      <alignment horizontal="left" vertical="center" wrapText="1" shrinkToFit="1"/>
      <protection locked="0"/>
    </xf>
    <xf numFmtId="0" fontId="11" fillId="4" borderId="95" xfId="0" applyFont="1" applyFill="1" applyBorder="1" applyAlignment="1" applyProtection="1">
      <alignment horizontal="left" vertical="center" wrapText="1"/>
      <protection locked="0"/>
    </xf>
    <xf numFmtId="0" fontId="11" fillId="4" borderId="15" xfId="0" applyFont="1" applyFill="1" applyBorder="1" applyAlignment="1" applyProtection="1">
      <alignment horizontal="left" vertical="center" shrinkToFit="1"/>
      <protection locked="0"/>
    </xf>
    <xf numFmtId="0" fontId="11" fillId="4" borderId="16" xfId="0" applyFont="1" applyFill="1" applyBorder="1" applyAlignment="1" applyProtection="1">
      <alignment horizontal="left" vertical="center" shrinkToFit="1"/>
      <protection locked="0"/>
    </xf>
    <xf numFmtId="15" fontId="11" fillId="4" borderId="0" xfId="0" applyNumberFormat="1" applyFont="1" applyFill="1" applyBorder="1" applyAlignment="1" applyProtection="1">
      <alignment horizontal="left" vertical="center" wrapText="1" shrinkToFit="1"/>
      <protection locked="0"/>
    </xf>
    <xf numFmtId="0" fontId="11" fillId="4" borderId="9" xfId="0" applyFont="1" applyFill="1" applyBorder="1" applyAlignment="1" applyProtection="1">
      <alignment horizontal="left" vertical="center" wrapText="1" shrinkToFit="1"/>
      <protection locked="0"/>
    </xf>
    <xf numFmtId="0" fontId="11" fillId="4" borderId="10" xfId="0" applyFont="1" applyFill="1" applyBorder="1" applyAlignment="1" applyProtection="1">
      <alignment horizontal="left" vertical="center" wrapText="1" shrinkToFit="1"/>
      <protection locked="0"/>
    </xf>
    <xf numFmtId="0" fontId="3" fillId="0" borderId="6" xfId="0" applyFont="1" applyBorder="1" applyAlignment="1" applyProtection="1">
      <alignment vertical="center"/>
    </xf>
    <xf numFmtId="0" fontId="3" fillId="0" borderId="54" xfId="0" applyFont="1" applyBorder="1" applyAlignment="1" applyProtection="1">
      <alignment vertical="center"/>
    </xf>
    <xf numFmtId="0" fontId="3" fillId="0" borderId="54" xfId="0" applyFont="1" applyBorder="1" applyAlignment="1" applyProtection="1">
      <alignment horizontal="left" vertical="center" wrapText="1"/>
    </xf>
    <xf numFmtId="0" fontId="3" fillId="0" borderId="54" xfId="0" applyFont="1" applyFill="1" applyBorder="1" applyAlignment="1" applyProtection="1">
      <alignment vertical="center"/>
    </xf>
    <xf numFmtId="0" fontId="3" fillId="0" borderId="12" xfId="0" applyFont="1" applyFill="1" applyBorder="1" applyAlignment="1" applyProtection="1">
      <alignment vertical="center" wrapText="1"/>
    </xf>
    <xf numFmtId="0" fontId="3" fillId="0" borderId="54" xfId="0" applyFont="1" applyBorder="1" applyAlignment="1" applyProtection="1">
      <alignment horizontal="left" vertical="center"/>
    </xf>
    <xf numFmtId="0" fontId="3" fillId="0" borderId="54" xfId="0" applyFont="1" applyFill="1" applyBorder="1" applyAlignment="1" applyProtection="1">
      <alignment horizontal="left" vertical="center"/>
    </xf>
    <xf numFmtId="0" fontId="3" fillId="0" borderId="57" xfId="0" applyFont="1" applyBorder="1" applyAlignment="1" applyProtection="1">
      <alignment horizontal="left" vertical="center"/>
    </xf>
    <xf numFmtId="0" fontId="3" fillId="0" borderId="58" xfId="0" applyFont="1" applyBorder="1" applyAlignment="1" applyProtection="1">
      <alignment horizontal="left" vertical="center"/>
    </xf>
    <xf numFmtId="0" fontId="3" fillId="0" borderId="69" xfId="0" applyFont="1" applyBorder="1" applyAlignment="1" applyProtection="1">
      <alignment horizontal="left" vertical="center"/>
    </xf>
    <xf numFmtId="0" fontId="3" fillId="0" borderId="86" xfId="0" applyFont="1" applyBorder="1" applyAlignment="1" applyProtection="1">
      <alignment horizontal="left" vertical="center"/>
    </xf>
    <xf numFmtId="0" fontId="11" fillId="4" borderId="43" xfId="0" applyFont="1" applyFill="1" applyBorder="1" applyAlignment="1" applyProtection="1">
      <alignment horizontal="left" vertical="center" wrapText="1" shrinkToFit="1"/>
      <protection locked="0"/>
    </xf>
    <xf numFmtId="49" fontId="11" fillId="4" borderId="44" xfId="0" applyNumberFormat="1" applyFont="1" applyFill="1" applyBorder="1" applyAlignment="1" applyProtection="1">
      <alignment horizontal="left" vertical="center" wrapText="1"/>
      <protection locked="0"/>
    </xf>
    <xf numFmtId="0" fontId="11" fillId="4" borderId="45" xfId="0" applyFont="1" applyFill="1" applyBorder="1" applyAlignment="1" applyProtection="1">
      <alignment horizontal="left" vertical="center" wrapText="1" shrinkToFit="1"/>
      <protection locked="0"/>
    </xf>
    <xf numFmtId="0" fontId="11" fillId="4" borderId="46" xfId="0" applyFont="1" applyFill="1" applyBorder="1" applyAlignment="1" applyProtection="1">
      <alignment horizontal="left" vertical="center" wrapText="1"/>
      <protection locked="0"/>
    </xf>
    <xf numFmtId="49" fontId="11" fillId="4" borderId="46" xfId="0" applyNumberFormat="1" applyFont="1" applyFill="1" applyBorder="1" applyAlignment="1" applyProtection="1">
      <alignment horizontal="left" vertical="center" wrapText="1"/>
      <protection locked="0"/>
    </xf>
    <xf numFmtId="0" fontId="11" fillId="4" borderId="33" xfId="0" applyFont="1" applyFill="1" applyBorder="1" applyAlignment="1" applyProtection="1">
      <alignment horizontal="left" vertical="center" wrapText="1"/>
      <protection locked="0"/>
    </xf>
    <xf numFmtId="0" fontId="11" fillId="4" borderId="108" xfId="0" applyFont="1" applyFill="1" applyBorder="1" applyAlignment="1" applyProtection="1">
      <alignment horizontal="left" vertical="center" wrapText="1"/>
      <protection locked="0"/>
    </xf>
    <xf numFmtId="0" fontId="11" fillId="4" borderId="40" xfId="0" applyFont="1" applyFill="1" applyBorder="1" applyAlignment="1" applyProtection="1">
      <alignment horizontal="left" vertical="center" wrapText="1"/>
      <protection locked="0"/>
    </xf>
    <xf numFmtId="0" fontId="11" fillId="4" borderId="100" xfId="0" applyFont="1" applyFill="1" applyBorder="1" applyAlignment="1" applyProtection="1">
      <alignment horizontal="left" vertical="center"/>
      <protection locked="0"/>
    </xf>
    <xf numFmtId="0" fontId="11" fillId="4" borderId="91" xfId="0" applyFont="1" applyFill="1" applyBorder="1" applyAlignment="1" applyProtection="1">
      <alignment horizontal="left" vertical="center"/>
      <protection locked="0"/>
    </xf>
    <xf numFmtId="0" fontId="11" fillId="4" borderId="101" xfId="0" applyFont="1" applyFill="1" applyBorder="1" applyAlignment="1" applyProtection="1">
      <alignment horizontal="left" vertical="center"/>
      <protection locked="0"/>
    </xf>
    <xf numFmtId="0" fontId="11" fillId="4" borderId="102" xfId="0" applyFont="1" applyFill="1" applyBorder="1" applyAlignment="1" applyProtection="1">
      <alignment horizontal="left" vertical="center"/>
      <protection locked="0"/>
    </xf>
    <xf numFmtId="0" fontId="11" fillId="4" borderId="44" xfId="0" applyFont="1" applyFill="1" applyBorder="1" applyAlignment="1" applyProtection="1">
      <alignment horizontal="center" vertical="center"/>
      <protection locked="0"/>
    </xf>
    <xf numFmtId="15" fontId="11" fillId="4" borderId="44" xfId="0" applyNumberFormat="1" applyFont="1" applyFill="1" applyBorder="1" applyAlignment="1" applyProtection="1">
      <alignment horizontal="center" vertical="center"/>
      <protection locked="0"/>
    </xf>
    <xf numFmtId="0" fontId="26" fillId="4" borderId="44" xfId="0" applyFont="1" applyFill="1" applyBorder="1" applyAlignment="1" applyProtection="1">
      <alignment horizontal="center" vertical="center"/>
      <protection locked="0"/>
    </xf>
    <xf numFmtId="0" fontId="21" fillId="3" borderId="0" xfId="0" applyFont="1" applyFill="1" applyAlignment="1">
      <alignment horizontal="center" vertical="center"/>
    </xf>
    <xf numFmtId="0" fontId="2" fillId="0" borderId="0" xfId="0" applyFont="1" applyBorder="1" applyAlignment="1" applyProtection="1">
      <alignment horizontal="left" wrapText="1"/>
    </xf>
    <xf numFmtId="0" fontId="4" fillId="0" borderId="0" xfId="0" applyFont="1" applyBorder="1" applyAlignment="1" applyProtection="1">
      <alignment horizontal="left" vertical="top" wrapText="1"/>
    </xf>
    <xf numFmtId="0" fontId="5" fillId="2" borderId="3" xfId="0" applyFont="1" applyFill="1" applyBorder="1" applyAlignment="1" applyProtection="1">
      <alignment horizontal="left" vertical="center"/>
    </xf>
    <xf numFmtId="0" fontId="5" fillId="2" borderId="4" xfId="0" applyFont="1" applyFill="1" applyBorder="1" applyAlignment="1" applyProtection="1">
      <alignment horizontal="left" vertical="center"/>
    </xf>
    <xf numFmtId="0" fontId="9" fillId="0" borderId="4" xfId="0" applyFont="1" applyFill="1" applyBorder="1" applyAlignment="1" applyProtection="1">
      <alignment horizontal="center" vertical="center" wrapText="1" shrinkToFit="1"/>
    </xf>
    <xf numFmtId="0" fontId="5" fillId="2" borderId="3" xfId="0" applyFont="1" applyFill="1" applyBorder="1" applyAlignment="1" applyProtection="1">
      <alignment horizontal="left" vertical="center" wrapText="1"/>
    </xf>
    <xf numFmtId="0" fontId="5" fillId="2" borderId="4" xfId="0" applyFont="1" applyFill="1" applyBorder="1" applyAlignment="1" applyProtection="1">
      <alignment horizontal="left" vertical="center" wrapText="1"/>
    </xf>
    <xf numFmtId="0" fontId="5" fillId="2" borderId="5" xfId="0" applyFont="1" applyFill="1" applyBorder="1" applyAlignment="1" applyProtection="1">
      <alignment horizontal="left" vertical="center" wrapText="1"/>
    </xf>
    <xf numFmtId="0" fontId="3" fillId="0" borderId="29" xfId="0" applyFont="1" applyBorder="1" applyAlignment="1" applyProtection="1">
      <alignment horizontal="left" vertical="center"/>
    </xf>
    <xf numFmtId="0" fontId="3" fillId="0" borderId="30" xfId="0" applyFont="1" applyBorder="1" applyAlignment="1" applyProtection="1">
      <alignment horizontal="left" vertical="center"/>
    </xf>
    <xf numFmtId="0" fontId="8" fillId="0" borderId="29" xfId="0" applyFont="1" applyBorder="1" applyAlignment="1" applyProtection="1">
      <alignment horizontal="left" vertical="center" wrapText="1"/>
    </xf>
    <xf numFmtId="0" fontId="8" fillId="0" borderId="31" xfId="0" applyFont="1" applyBorder="1" applyAlignment="1" applyProtection="1">
      <alignment horizontal="left" vertical="center" wrapText="1"/>
    </xf>
    <xf numFmtId="0" fontId="25" fillId="4" borderId="32" xfId="0" applyFont="1" applyFill="1" applyBorder="1" applyAlignment="1" applyProtection="1">
      <alignment horizontal="left" vertical="center" wrapText="1"/>
      <protection locked="0"/>
    </xf>
    <xf numFmtId="0" fontId="11" fillId="4" borderId="33" xfId="0" applyFont="1" applyFill="1" applyBorder="1" applyAlignment="1" applyProtection="1">
      <alignment horizontal="left" vertical="center" wrapText="1"/>
      <protection locked="0"/>
    </xf>
    <xf numFmtId="0" fontId="8" fillId="0" borderId="34" xfId="0" applyFont="1" applyBorder="1" applyAlignment="1" applyProtection="1">
      <alignment horizontal="left" vertical="center" wrapText="1"/>
    </xf>
    <xf numFmtId="0" fontId="8" fillId="0" borderId="35" xfId="0" applyFont="1" applyBorder="1" applyAlignment="1" applyProtection="1">
      <alignment horizontal="left" vertical="center" wrapText="1"/>
    </xf>
    <xf numFmtId="0" fontId="8" fillId="0" borderId="36" xfId="0" applyFont="1" applyBorder="1" applyAlignment="1" applyProtection="1">
      <alignment horizontal="left" vertical="center" wrapText="1"/>
    </xf>
    <xf numFmtId="0" fontId="8" fillId="0" borderId="37" xfId="0" applyFont="1" applyBorder="1" applyAlignment="1" applyProtection="1">
      <alignment horizontal="left" vertical="center" wrapText="1"/>
    </xf>
    <xf numFmtId="0" fontId="25" fillId="4" borderId="33" xfId="0" applyFont="1" applyFill="1" applyBorder="1" applyAlignment="1" applyProtection="1">
      <alignment horizontal="left" vertical="center" wrapText="1"/>
      <protection locked="0"/>
    </xf>
    <xf numFmtId="0" fontId="3" fillId="0" borderId="93" xfId="0" applyFont="1" applyFill="1" applyBorder="1" applyAlignment="1" applyProtection="1">
      <alignment horizontal="center" wrapText="1"/>
    </xf>
    <xf numFmtId="0" fontId="3" fillId="0" borderId="91" xfId="0" applyFont="1" applyFill="1" applyBorder="1" applyAlignment="1" applyProtection="1">
      <alignment horizontal="center" wrapText="1"/>
    </xf>
    <xf numFmtId="0" fontId="3" fillId="0" borderId="1" xfId="0" applyFont="1" applyFill="1" applyBorder="1" applyAlignment="1" applyProtection="1">
      <alignment horizontal="center" wrapText="1"/>
    </xf>
    <xf numFmtId="0" fontId="3" fillId="0" borderId="2" xfId="0" applyFont="1" applyFill="1" applyBorder="1" applyAlignment="1" applyProtection="1">
      <alignment horizontal="center" wrapText="1"/>
    </xf>
    <xf numFmtId="0" fontId="3" fillId="0" borderId="92" xfId="0" applyFont="1" applyFill="1" applyBorder="1" applyAlignment="1" applyProtection="1">
      <alignment horizontal="center" wrapText="1"/>
    </xf>
    <xf numFmtId="164" fontId="25" fillId="4" borderId="32" xfId="0" applyNumberFormat="1" applyFont="1" applyFill="1" applyBorder="1" applyAlignment="1" applyProtection="1">
      <alignment horizontal="left" vertical="center" wrapText="1"/>
      <protection locked="0"/>
    </xf>
    <xf numFmtId="164" fontId="25" fillId="4" borderId="33" xfId="0" applyNumberFormat="1" applyFont="1" applyFill="1" applyBorder="1" applyAlignment="1" applyProtection="1">
      <alignment horizontal="left" vertical="center" wrapText="1"/>
      <protection locked="0"/>
    </xf>
    <xf numFmtId="0" fontId="22" fillId="4" borderId="34" xfId="0" applyFont="1" applyFill="1" applyBorder="1" applyAlignment="1" applyProtection="1">
      <alignment horizontal="left" vertical="center" wrapText="1"/>
      <protection locked="0"/>
    </xf>
    <xf numFmtId="0" fontId="22" fillId="4" borderId="38" xfId="0" applyFont="1" applyFill="1" applyBorder="1" applyAlignment="1" applyProtection="1">
      <alignment horizontal="left" vertical="center" wrapText="1"/>
      <protection locked="0"/>
    </xf>
    <xf numFmtId="0" fontId="22" fillId="4" borderId="105" xfId="0" applyFont="1" applyFill="1" applyBorder="1" applyAlignment="1" applyProtection="1">
      <alignment horizontal="left" vertical="center" wrapText="1"/>
      <protection locked="0"/>
    </xf>
    <xf numFmtId="0" fontId="22" fillId="4" borderId="26" xfId="0" applyFont="1" applyFill="1" applyBorder="1" applyAlignment="1" applyProtection="1">
      <alignment horizontal="left" vertical="center" wrapText="1"/>
      <protection locked="0"/>
    </xf>
    <xf numFmtId="0" fontId="22" fillId="4" borderId="27" xfId="0" applyFont="1" applyFill="1" applyBorder="1" applyAlignment="1" applyProtection="1">
      <alignment horizontal="left" vertical="center" wrapText="1"/>
      <protection locked="0"/>
    </xf>
    <xf numFmtId="0" fontId="22" fillId="4" borderId="103" xfId="0" applyFont="1" applyFill="1" applyBorder="1" applyAlignment="1" applyProtection="1">
      <alignment horizontal="left" vertical="center" wrapText="1"/>
      <protection locked="0"/>
    </xf>
    <xf numFmtId="164" fontId="25" fillId="4" borderId="39" xfId="0" applyNumberFormat="1" applyFont="1" applyFill="1" applyBorder="1" applyAlignment="1" applyProtection="1">
      <alignment horizontal="left" vertical="center" wrapText="1"/>
      <protection locked="0"/>
    </xf>
    <xf numFmtId="164" fontId="25" fillId="4" borderId="40" xfId="0" applyNumberFormat="1" applyFont="1" applyFill="1" applyBorder="1" applyAlignment="1" applyProtection="1">
      <alignment horizontal="left" vertical="center" wrapText="1"/>
      <protection locked="0"/>
    </xf>
    <xf numFmtId="0" fontId="11" fillId="4" borderId="23" xfId="0" applyFont="1" applyFill="1" applyBorder="1" applyAlignment="1" applyProtection="1">
      <alignment horizontal="left" vertical="center" wrapText="1"/>
      <protection locked="0"/>
    </xf>
    <xf numFmtId="0" fontId="11" fillId="4" borderId="24" xfId="0" applyFont="1" applyFill="1" applyBorder="1" applyAlignment="1" applyProtection="1">
      <alignment horizontal="left" vertical="center" wrapText="1"/>
      <protection locked="0"/>
    </xf>
    <xf numFmtId="49" fontId="11" fillId="0" borderId="4" xfId="0" applyNumberFormat="1" applyFont="1" applyFill="1" applyBorder="1" applyAlignment="1" applyProtection="1">
      <alignment horizontal="center" vertical="center" wrapText="1"/>
    </xf>
    <xf numFmtId="0" fontId="3" fillId="0" borderId="47" xfId="0" applyFont="1" applyFill="1" applyBorder="1" applyAlignment="1" applyProtection="1">
      <alignment horizontal="left" vertical="center" wrapText="1"/>
    </xf>
    <xf numFmtId="0" fontId="3" fillId="0" borderId="48" xfId="0" applyFont="1" applyFill="1" applyBorder="1" applyAlignment="1" applyProtection="1">
      <alignment horizontal="left" vertical="center" wrapText="1"/>
    </xf>
    <xf numFmtId="0" fontId="3" fillId="0" borderId="49" xfId="0" applyFont="1" applyFill="1" applyBorder="1" applyAlignment="1" applyProtection="1">
      <alignment horizontal="left" vertical="center" wrapText="1"/>
    </xf>
    <xf numFmtId="0" fontId="3" fillId="0" borderId="50" xfId="0" applyFont="1" applyBorder="1" applyAlignment="1" applyProtection="1">
      <alignment horizontal="left" vertical="center" wrapText="1"/>
    </xf>
    <xf numFmtId="0" fontId="3" fillId="0" borderId="51" xfId="0" applyFont="1" applyBorder="1" applyAlignment="1" applyProtection="1">
      <alignment horizontal="left" vertical="center" wrapText="1"/>
    </xf>
    <xf numFmtId="0" fontId="3" fillId="0" borderId="52" xfId="0" applyFont="1" applyBorder="1" applyAlignment="1" applyProtection="1">
      <alignment horizontal="left" vertical="center" wrapText="1"/>
    </xf>
    <xf numFmtId="0" fontId="3" fillId="0" borderId="14" xfId="0" applyFont="1" applyBorder="1" applyAlignment="1" applyProtection="1">
      <alignment horizontal="left" vertical="center" wrapText="1"/>
    </xf>
    <xf numFmtId="0" fontId="3" fillId="0" borderId="53" xfId="0" applyFont="1" applyBorder="1" applyAlignment="1" applyProtection="1">
      <alignment horizontal="left" vertical="center" wrapText="1"/>
    </xf>
    <xf numFmtId="0" fontId="3" fillId="0" borderId="54" xfId="0" applyFont="1" applyBorder="1" applyAlignment="1" applyProtection="1">
      <alignment horizontal="left" vertical="center" wrapText="1"/>
    </xf>
    <xf numFmtId="0" fontId="3" fillId="0" borderId="6" xfId="0" applyFont="1" applyBorder="1" applyAlignment="1" applyProtection="1">
      <alignment horizontal="left" vertical="center" wrapText="1"/>
    </xf>
    <xf numFmtId="0" fontId="13" fillId="0" borderId="4" xfId="0" applyFont="1" applyFill="1" applyBorder="1" applyAlignment="1" applyProtection="1">
      <alignment horizontal="center" vertical="center" wrapText="1"/>
    </xf>
    <xf numFmtId="0" fontId="23" fillId="2" borderId="3" xfId="0" applyFont="1" applyFill="1" applyBorder="1" applyAlignment="1" applyProtection="1">
      <alignment horizontal="left" vertical="center" wrapText="1"/>
    </xf>
    <xf numFmtId="0" fontId="5" fillId="2" borderId="5" xfId="0" applyFont="1" applyFill="1" applyBorder="1" applyAlignment="1" applyProtection="1">
      <alignment horizontal="left" vertical="center"/>
    </xf>
    <xf numFmtId="0" fontId="14" fillId="0" borderId="3" xfId="0" applyFont="1" applyFill="1" applyBorder="1" applyAlignment="1" applyProtection="1">
      <alignment horizontal="left" vertical="center" wrapText="1"/>
    </xf>
    <xf numFmtId="0" fontId="14" fillId="0" borderId="5" xfId="0" applyFont="1" applyFill="1" applyBorder="1" applyAlignment="1" applyProtection="1">
      <alignment horizontal="left" vertical="center" wrapText="1"/>
    </xf>
    <xf numFmtId="0" fontId="11" fillId="4" borderId="3" xfId="0" applyFont="1" applyFill="1" applyBorder="1" applyAlignment="1" applyProtection="1">
      <alignment horizontal="left" vertical="center" wrapText="1"/>
      <protection locked="0"/>
    </xf>
    <xf numFmtId="0" fontId="11" fillId="4" borderId="4" xfId="0" applyFont="1" applyFill="1" applyBorder="1" applyAlignment="1" applyProtection="1">
      <alignment horizontal="left" vertical="center" wrapText="1"/>
      <protection locked="0"/>
    </xf>
    <xf numFmtId="0" fontId="11" fillId="4" borderId="5" xfId="0" applyFont="1" applyFill="1" applyBorder="1" applyAlignment="1" applyProtection="1">
      <alignment horizontal="left" vertical="center" wrapText="1"/>
      <protection locked="0"/>
    </xf>
    <xf numFmtId="0" fontId="3" fillId="0" borderId="0" xfId="0" applyFont="1" applyFill="1" applyBorder="1" applyAlignment="1" applyProtection="1">
      <alignment horizontal="left" vertical="center" wrapText="1"/>
    </xf>
    <xf numFmtId="0" fontId="3" fillId="0" borderId="14" xfId="0" applyFont="1" applyBorder="1" applyAlignment="1" applyProtection="1">
      <alignment horizontal="left" vertical="center"/>
    </xf>
    <xf numFmtId="0" fontId="3" fillId="0" borderId="68" xfId="0" applyFont="1" applyBorder="1" applyAlignment="1" applyProtection="1">
      <alignment horizontal="left" vertical="center"/>
    </xf>
    <xf numFmtId="0" fontId="3" fillId="0" borderId="63" xfId="0" applyFont="1" applyBorder="1" applyAlignment="1" applyProtection="1">
      <alignment horizontal="left" vertical="center" wrapText="1"/>
    </xf>
    <xf numFmtId="0" fontId="3" fillId="0" borderId="54" xfId="0" applyFont="1" applyBorder="1" applyAlignment="1" applyProtection="1">
      <alignment horizontal="left" vertical="center"/>
    </xf>
    <xf numFmtId="0" fontId="3" fillId="0" borderId="6" xfId="0" applyFont="1" applyBorder="1" applyAlignment="1" applyProtection="1">
      <alignment horizontal="left" vertical="center"/>
    </xf>
    <xf numFmtId="0" fontId="3" fillId="0" borderId="13" xfId="0" applyFont="1" applyFill="1" applyBorder="1" applyAlignment="1" applyProtection="1">
      <alignment horizontal="left" vertical="center"/>
    </xf>
    <xf numFmtId="0" fontId="3" fillId="0" borderId="51" xfId="0" applyFont="1" applyFill="1" applyBorder="1" applyAlignment="1" applyProtection="1">
      <alignment horizontal="left" vertical="center"/>
    </xf>
    <xf numFmtId="0" fontId="3" fillId="0" borderId="68" xfId="0" applyFont="1" applyFill="1" applyBorder="1" applyAlignment="1" applyProtection="1">
      <alignment horizontal="left" vertical="center"/>
    </xf>
    <xf numFmtId="0" fontId="3" fillId="0" borderId="54" xfId="0" applyFont="1" applyBorder="1" applyAlignment="1" applyProtection="1">
      <alignment horizontal="left" vertical="top" wrapText="1"/>
    </xf>
    <xf numFmtId="0" fontId="3" fillId="0" borderId="6" xfId="0" applyFont="1" applyBorder="1" applyAlignment="1" applyProtection="1">
      <alignment horizontal="left" vertical="top" wrapText="1"/>
    </xf>
    <xf numFmtId="0" fontId="15" fillId="0" borderId="3" xfId="0" applyFont="1" applyFill="1" applyBorder="1" applyAlignment="1" applyProtection="1">
      <alignment horizontal="left" vertical="center" wrapText="1"/>
    </xf>
    <xf numFmtId="0" fontId="15" fillId="0" borderId="4" xfId="0" applyFont="1" applyFill="1" applyBorder="1" applyAlignment="1" applyProtection="1">
      <alignment horizontal="left" vertical="center" wrapText="1"/>
    </xf>
    <xf numFmtId="0" fontId="15" fillId="0" borderId="5" xfId="0" applyFont="1" applyFill="1" applyBorder="1" applyAlignment="1" applyProtection="1">
      <alignment horizontal="left" vertical="center" wrapText="1"/>
    </xf>
    <xf numFmtId="0" fontId="16" fillId="0" borderId="4" xfId="0" applyFont="1" applyBorder="1" applyAlignment="1" applyProtection="1">
      <alignment horizontal="center" vertical="center" wrapText="1"/>
    </xf>
    <xf numFmtId="0" fontId="6" fillId="0" borderId="0" xfId="0" applyFont="1" applyFill="1" applyBorder="1" applyAlignment="1" applyProtection="1">
      <alignment horizontal="center" vertical="center" wrapText="1"/>
    </xf>
    <xf numFmtId="0" fontId="3" fillId="0" borderId="20" xfId="0" applyFont="1" applyFill="1" applyBorder="1" applyAlignment="1" applyProtection="1">
      <alignment horizontal="center" vertical="center" wrapText="1"/>
    </xf>
    <xf numFmtId="0" fontId="3" fillId="0" borderId="0" xfId="0" applyFont="1" applyFill="1" applyBorder="1" applyAlignment="1" applyProtection="1">
      <alignment horizontal="center" vertical="top" wrapText="1"/>
    </xf>
    <xf numFmtId="0" fontId="6" fillId="0" borderId="47" xfId="0" applyFont="1" applyBorder="1" applyAlignment="1" applyProtection="1">
      <alignment horizontal="left" vertical="center" wrapText="1"/>
    </xf>
    <xf numFmtId="0" fontId="6" fillId="0" borderId="48" xfId="0" applyFont="1" applyBorder="1" applyAlignment="1" applyProtection="1">
      <alignment horizontal="left" vertical="center" wrapText="1"/>
    </xf>
    <xf numFmtId="0" fontId="6" fillId="0" borderId="49" xfId="0" applyFont="1" applyBorder="1" applyAlignment="1" applyProtection="1">
      <alignment horizontal="left" vertical="center" wrapText="1"/>
    </xf>
    <xf numFmtId="0" fontId="6" fillId="0" borderId="50" xfId="0" applyFont="1" applyBorder="1" applyAlignment="1" applyProtection="1">
      <alignment horizontal="left" vertical="center" wrapText="1"/>
    </xf>
    <xf numFmtId="0" fontId="6" fillId="0" borderId="51" xfId="0" applyFont="1" applyBorder="1" applyAlignment="1" applyProtection="1">
      <alignment horizontal="left" vertical="center" wrapText="1"/>
    </xf>
    <xf numFmtId="0" fontId="6" fillId="0" borderId="52" xfId="0" applyFont="1" applyBorder="1" applyAlignment="1" applyProtection="1">
      <alignment horizontal="left" vertical="center" wrapText="1"/>
    </xf>
    <xf numFmtId="0" fontId="9" fillId="0" borderId="0" xfId="0" applyFont="1" applyBorder="1" applyAlignment="1" applyProtection="1">
      <alignment horizontal="center" vertical="center" wrapText="1"/>
    </xf>
    <xf numFmtId="0" fontId="6" fillId="0" borderId="3" xfId="0" applyFont="1" applyBorder="1" applyAlignment="1" applyProtection="1">
      <alignment horizontal="left" vertical="center"/>
    </xf>
    <xf numFmtId="0" fontId="6" fillId="0" borderId="4" xfId="0" applyFont="1" applyBorder="1" applyAlignment="1" applyProtection="1">
      <alignment horizontal="left" vertical="center"/>
    </xf>
    <xf numFmtId="0" fontId="6" fillId="0" borderId="5" xfId="0" applyFont="1" applyBorder="1" applyAlignment="1" applyProtection="1">
      <alignment horizontal="left" vertical="center"/>
    </xf>
    <xf numFmtId="0" fontId="6" fillId="0" borderId="4" xfId="0" applyFont="1" applyBorder="1" applyAlignment="1" applyProtection="1">
      <alignment horizontal="center" vertical="center"/>
    </xf>
    <xf numFmtId="0" fontId="17" fillId="0" borderId="20" xfId="0" applyFont="1" applyBorder="1" applyAlignment="1" applyProtection="1">
      <alignment horizontal="center" vertical="center"/>
    </xf>
    <xf numFmtId="0" fontId="18" fillId="0" borderId="27" xfId="0" applyFont="1" applyBorder="1" applyAlignment="1" applyProtection="1">
      <alignment horizontal="center" vertical="top"/>
    </xf>
    <xf numFmtId="0" fontId="5" fillId="2" borderId="3" xfId="0" applyFont="1" applyFill="1" applyBorder="1" applyAlignment="1" applyProtection="1">
      <alignment horizontal="center" vertical="center"/>
    </xf>
    <xf numFmtId="0" fontId="5" fillId="2" borderId="4" xfId="0" applyFont="1" applyFill="1" applyBorder="1" applyAlignment="1" applyProtection="1">
      <alignment horizontal="center" vertical="center"/>
    </xf>
    <xf numFmtId="0" fontId="5" fillId="2" borderId="5" xfId="0" applyFont="1" applyFill="1" applyBorder="1" applyAlignment="1" applyProtection="1">
      <alignment horizontal="center" vertical="center"/>
    </xf>
    <xf numFmtId="0" fontId="18" fillId="0" borderId="80" xfId="0" applyFont="1" applyBorder="1" applyAlignment="1" applyProtection="1">
      <alignment horizontal="left" vertical="center" wrapText="1"/>
    </xf>
    <xf numFmtId="0" fontId="18" fillId="0" borderId="20" xfId="0" applyFont="1" applyBorder="1" applyAlignment="1" applyProtection="1">
      <alignment horizontal="left" vertical="center" wrapText="1"/>
    </xf>
    <xf numFmtId="0" fontId="18" fillId="0" borderId="81" xfId="0" applyFont="1" applyBorder="1" applyAlignment="1" applyProtection="1">
      <alignment horizontal="left" vertical="center" wrapText="1"/>
    </xf>
    <xf numFmtId="0" fontId="6" fillId="0" borderId="17" xfId="0" applyFont="1" applyBorder="1" applyAlignment="1" applyProtection="1">
      <alignment horizontal="left" vertical="center"/>
    </xf>
    <xf numFmtId="0" fontId="6" fillId="0" borderId="0" xfId="0" applyFont="1" applyBorder="1" applyAlignment="1" applyProtection="1">
      <alignment horizontal="left" vertical="center"/>
    </xf>
    <xf numFmtId="0" fontId="6" fillId="0" borderId="82" xfId="0" applyFont="1" applyBorder="1" applyAlignment="1" applyProtection="1">
      <alignment horizontal="left" vertical="center"/>
    </xf>
    <xf numFmtId="0" fontId="6" fillId="0" borderId="18" xfId="0" applyFont="1" applyBorder="1" applyAlignment="1" applyProtection="1">
      <alignment horizontal="left" vertical="center" wrapText="1"/>
    </xf>
    <xf numFmtId="0" fontId="6" fillId="0" borderId="78" xfId="0" applyFont="1" applyBorder="1" applyAlignment="1" applyProtection="1">
      <alignment horizontal="left" vertical="center" wrapText="1"/>
    </xf>
    <xf numFmtId="0" fontId="6" fillId="0" borderId="79" xfId="0" applyFont="1" applyBorder="1" applyAlignment="1" applyProtection="1">
      <alignment horizontal="left" vertical="center" wrapText="1"/>
    </xf>
    <xf numFmtId="0" fontId="11" fillId="4" borderId="3" xfId="0" applyFont="1" applyFill="1" applyBorder="1" applyAlignment="1" applyProtection="1">
      <alignment horizontal="center" vertical="center" wrapText="1"/>
      <protection locked="0"/>
    </xf>
    <xf numFmtId="0" fontId="11" fillId="4" borderId="4" xfId="0" applyFont="1" applyFill="1" applyBorder="1" applyAlignment="1" applyProtection="1">
      <alignment horizontal="center" vertical="center" wrapText="1"/>
      <protection locked="0"/>
    </xf>
    <xf numFmtId="0" fontId="11" fillId="4" borderId="5" xfId="0" applyFont="1" applyFill="1" applyBorder="1" applyAlignment="1" applyProtection="1">
      <alignment horizontal="center" vertical="center" wrapText="1"/>
      <protection locked="0"/>
    </xf>
    <xf numFmtId="0" fontId="19" fillId="0" borderId="26" xfId="0" applyFont="1" applyBorder="1" applyAlignment="1" applyProtection="1">
      <alignment horizontal="left" vertical="center" wrapText="1"/>
    </xf>
    <xf numFmtId="0" fontId="19" fillId="0" borderId="27" xfId="0" applyFont="1" applyBorder="1" applyAlignment="1" applyProtection="1">
      <alignment horizontal="left" vertical="center" wrapText="1"/>
    </xf>
    <xf numFmtId="0" fontId="19" fillId="0" borderId="103" xfId="0" applyFont="1" applyBorder="1" applyAlignment="1" applyProtection="1">
      <alignment horizontal="left" vertical="center" wrapText="1"/>
    </xf>
    <xf numFmtId="0" fontId="27" fillId="4" borderId="3" xfId="0" applyFont="1" applyFill="1" applyBorder="1" applyAlignment="1" applyProtection="1">
      <alignment horizontal="center" vertical="center"/>
      <protection locked="0"/>
    </xf>
    <xf numFmtId="0" fontId="27" fillId="4" borderId="4" xfId="0" applyFont="1" applyFill="1" applyBorder="1" applyAlignment="1" applyProtection="1">
      <alignment horizontal="center" vertical="center"/>
      <protection locked="0"/>
    </xf>
    <xf numFmtId="0" fontId="27" fillId="4" borderId="5" xfId="0" applyFont="1" applyFill="1" applyBorder="1" applyAlignment="1" applyProtection="1">
      <alignment horizontal="center" vertical="center"/>
      <protection locked="0"/>
    </xf>
    <xf numFmtId="0" fontId="6" fillId="0" borderId="17" xfId="0" applyFont="1" applyBorder="1" applyAlignment="1" applyProtection="1">
      <alignment horizontal="left" vertical="center" wrapText="1"/>
    </xf>
    <xf numFmtId="0" fontId="6" fillId="0" borderId="0" xfId="0" applyFont="1" applyBorder="1" applyAlignment="1" applyProtection="1">
      <alignment horizontal="left" vertical="center" wrapText="1"/>
    </xf>
    <xf numFmtId="0" fontId="6" fillId="0" borderId="82" xfId="0" applyFont="1" applyBorder="1" applyAlignment="1" applyProtection="1">
      <alignment horizontal="left" vertical="center" wrapText="1"/>
    </xf>
    <xf numFmtId="0" fontId="0" fillId="0" borderId="0" xfId="0" applyBorder="1" applyAlignment="1">
      <alignment horizontal="center"/>
    </xf>
    <xf numFmtId="0" fontId="0" fillId="0" borderId="20" xfId="0" applyBorder="1" applyAlignment="1">
      <alignment horizontal="center"/>
    </xf>
    <xf numFmtId="0" fontId="7" fillId="4" borderId="11" xfId="1" applyFill="1" applyBorder="1" applyAlignment="1" applyProtection="1">
      <alignment horizontal="left" vertical="center" wrapText="1" shrinkToFit="1"/>
      <protection locked="0"/>
    </xf>
    <xf numFmtId="15" fontId="11" fillId="4" borderId="96" xfId="0" applyNumberFormat="1" applyFont="1" applyFill="1" applyBorder="1" applyAlignment="1" applyProtection="1">
      <alignment horizontal="center" vertical="center" wrapText="1"/>
      <protection locked="0"/>
    </xf>
    <xf numFmtId="15" fontId="11" fillId="4" borderId="25" xfId="0" applyNumberFormat="1" applyFont="1" applyFill="1" applyBorder="1" applyAlignment="1" applyProtection="1">
      <alignment horizontal="center" vertical="center" wrapText="1"/>
      <protection locked="0"/>
    </xf>
    <xf numFmtId="15" fontId="11" fillId="4" borderId="7" xfId="0" applyNumberFormat="1" applyFont="1" applyFill="1" applyBorder="1" applyAlignment="1" applyProtection="1">
      <alignment horizontal="center" vertical="center" wrapText="1"/>
      <protection locked="0"/>
    </xf>
    <xf numFmtId="0" fontId="11" fillId="4" borderId="14" xfId="0" applyFont="1" applyFill="1" applyBorder="1" applyAlignment="1" applyProtection="1">
      <alignment horizontal="left" vertical="center" wrapText="1"/>
      <protection locked="0"/>
    </xf>
    <xf numFmtId="0" fontId="11" fillId="4" borderId="53" xfId="0" applyFont="1" applyFill="1" applyBorder="1" applyAlignment="1" applyProtection="1">
      <alignment horizontal="left" vertical="center" wrapText="1"/>
      <protection locked="0"/>
    </xf>
    <xf numFmtId="0" fontId="11" fillId="4" borderId="68" xfId="0" applyFont="1" applyFill="1" applyBorder="1" applyAlignment="1" applyProtection="1">
      <alignment horizontal="left" vertical="center" wrapText="1"/>
      <protection locked="0"/>
    </xf>
    <xf numFmtId="0" fontId="11" fillId="4" borderId="55" xfId="0" applyFont="1" applyFill="1" applyBorder="1" applyAlignment="1" applyProtection="1">
      <alignment horizontal="left" vertical="center" wrapText="1"/>
      <protection locked="0"/>
    </xf>
    <xf numFmtId="0" fontId="11" fillId="4" borderId="84" xfId="0" applyFont="1" applyFill="1" applyBorder="1" applyAlignment="1" applyProtection="1">
      <alignment horizontal="left" vertical="center" wrapText="1"/>
      <protection locked="0"/>
    </xf>
    <xf numFmtId="0" fontId="11" fillId="4" borderId="8" xfId="0" applyFont="1" applyFill="1" applyBorder="1" applyAlignment="1" applyProtection="1">
      <alignment horizontal="left" vertical="center" wrapText="1"/>
      <protection locked="0"/>
    </xf>
    <xf numFmtId="0" fontId="11" fillId="4" borderId="56" xfId="0" applyFont="1" applyFill="1" applyBorder="1" applyAlignment="1" applyProtection="1">
      <alignment horizontal="left" vertical="center" wrapText="1"/>
      <protection locked="0"/>
    </xf>
    <xf numFmtId="0" fontId="11" fillId="4" borderId="85" xfId="0" applyFont="1" applyFill="1" applyBorder="1" applyAlignment="1" applyProtection="1">
      <alignment horizontal="left" vertical="center" wrapText="1"/>
      <protection locked="0"/>
    </xf>
    <xf numFmtId="0" fontId="11" fillId="4" borderId="14" xfId="0" applyFont="1" applyFill="1" applyBorder="1" applyAlignment="1" applyProtection="1">
      <alignment horizontal="left" vertical="center" wrapText="1" shrinkToFit="1"/>
      <protection locked="0"/>
    </xf>
    <xf numFmtId="0" fontId="11" fillId="4" borderId="53" xfId="0" applyFont="1" applyFill="1" applyBorder="1" applyAlignment="1" applyProtection="1">
      <alignment horizontal="left" vertical="center" wrapText="1" shrinkToFit="1"/>
      <protection locked="0"/>
    </xf>
    <xf numFmtId="0" fontId="11" fillId="4" borderId="68" xfId="0" applyFont="1" applyFill="1" applyBorder="1" applyAlignment="1" applyProtection="1">
      <alignment horizontal="left" vertical="center" wrapText="1" shrinkToFit="1"/>
      <protection locked="0"/>
    </xf>
    <xf numFmtId="15" fontId="11" fillId="4" borderId="59" xfId="0" applyNumberFormat="1" applyFont="1" applyFill="1" applyBorder="1" applyAlignment="1" applyProtection="1">
      <alignment horizontal="left" vertical="center" wrapText="1"/>
      <protection locked="0"/>
    </xf>
    <xf numFmtId="15" fontId="11" fillId="4" borderId="60" xfId="0" applyNumberFormat="1" applyFont="1" applyFill="1" applyBorder="1" applyAlignment="1" applyProtection="1">
      <alignment horizontal="left" vertical="center" wrapText="1"/>
      <protection locked="0"/>
    </xf>
    <xf numFmtId="15" fontId="11" fillId="4" borderId="87" xfId="0" applyNumberFormat="1" applyFont="1" applyFill="1" applyBorder="1" applyAlignment="1" applyProtection="1">
      <alignment horizontal="left" vertical="center" wrapText="1"/>
      <protection locked="0"/>
    </xf>
    <xf numFmtId="0" fontId="3" fillId="4" borderId="61" xfId="0" applyFont="1" applyFill="1" applyBorder="1" applyAlignment="1" applyProtection="1">
      <alignment horizontal="left" vertical="center" wrapText="1" shrinkToFit="1"/>
      <protection locked="0"/>
    </xf>
    <xf numFmtId="0" fontId="6" fillId="4" borderId="62" xfId="0" applyFont="1" applyFill="1" applyBorder="1" applyAlignment="1" applyProtection="1">
      <alignment horizontal="left" vertical="center" wrapText="1" shrinkToFit="1"/>
      <protection locked="0"/>
    </xf>
    <xf numFmtId="0" fontId="6" fillId="4" borderId="88" xfId="0" applyFont="1" applyFill="1" applyBorder="1" applyAlignment="1" applyProtection="1">
      <alignment horizontal="left" vertical="center" wrapText="1" shrinkToFit="1"/>
      <protection locked="0"/>
    </xf>
    <xf numFmtId="0" fontId="3" fillId="4" borderId="64" xfId="0" applyFont="1" applyFill="1" applyBorder="1" applyAlignment="1" applyProtection="1">
      <alignment horizontal="left" vertical="center" wrapText="1" shrinkToFit="1"/>
      <protection locked="0"/>
    </xf>
    <xf numFmtId="0" fontId="6" fillId="4" borderId="65" xfId="0" applyFont="1" applyFill="1" applyBorder="1" applyAlignment="1" applyProtection="1">
      <alignment horizontal="left" vertical="center" wrapText="1" shrinkToFit="1"/>
      <protection locked="0"/>
    </xf>
    <xf numFmtId="0" fontId="6" fillId="4" borderId="33" xfId="0" applyFont="1" applyFill="1" applyBorder="1" applyAlignment="1" applyProtection="1">
      <alignment horizontal="left" vertical="center" wrapText="1" shrinkToFit="1"/>
      <protection locked="0"/>
    </xf>
    <xf numFmtId="1" fontId="3" fillId="4" borderId="64" xfId="0" applyNumberFormat="1" applyFont="1" applyFill="1" applyBorder="1" applyAlignment="1" applyProtection="1">
      <alignment horizontal="left" vertical="center" wrapText="1" shrinkToFit="1"/>
      <protection locked="0"/>
    </xf>
    <xf numFmtId="1" fontId="6" fillId="4" borderId="65" xfId="0" applyNumberFormat="1" applyFont="1" applyFill="1" applyBorder="1" applyAlignment="1" applyProtection="1">
      <alignment horizontal="left" vertical="center" wrapText="1" shrinkToFit="1"/>
      <protection locked="0"/>
    </xf>
    <xf numFmtId="1" fontId="6" fillId="4" borderId="33" xfId="0" applyNumberFormat="1" applyFont="1" applyFill="1" applyBorder="1" applyAlignment="1" applyProtection="1">
      <alignment horizontal="left" vertical="center" wrapText="1" shrinkToFit="1"/>
      <protection locked="0"/>
    </xf>
    <xf numFmtId="0" fontId="3" fillId="4" borderId="66" xfId="0" applyFont="1" applyFill="1" applyBorder="1" applyAlignment="1" applyProtection="1">
      <alignment horizontal="left" vertical="center" wrapText="1" shrinkToFit="1"/>
      <protection locked="0"/>
    </xf>
    <xf numFmtId="0" fontId="6" fillId="4" borderId="67" xfId="0" applyFont="1" applyFill="1" applyBorder="1" applyAlignment="1" applyProtection="1">
      <alignment horizontal="left" vertical="center" wrapText="1" shrinkToFit="1"/>
      <protection locked="0"/>
    </xf>
    <xf numFmtId="0" fontId="6" fillId="4" borderId="89" xfId="0" applyFont="1" applyFill="1" applyBorder="1" applyAlignment="1" applyProtection="1">
      <alignment horizontal="left" vertical="center" wrapText="1" shrinkToFit="1"/>
      <protection locked="0"/>
    </xf>
    <xf numFmtId="0" fontId="6" fillId="4" borderId="14" xfId="0" applyFont="1" applyFill="1" applyBorder="1" applyAlignment="1" applyProtection="1">
      <alignment horizontal="left" vertical="center" wrapText="1"/>
      <protection locked="0"/>
    </xf>
    <xf numFmtId="0" fontId="6" fillId="4" borderId="53" xfId="0" applyFont="1" applyFill="1" applyBorder="1" applyAlignment="1" applyProtection="1">
      <alignment horizontal="left" vertical="center" wrapText="1"/>
      <protection locked="0"/>
    </xf>
    <xf numFmtId="0" fontId="6" fillId="4" borderId="68" xfId="0" applyFont="1" applyFill="1" applyBorder="1" applyAlignment="1" applyProtection="1">
      <alignment horizontal="left" vertical="center" wrapText="1"/>
      <protection locked="0"/>
    </xf>
    <xf numFmtId="0" fontId="6" fillId="4" borderId="55" xfId="0" applyFont="1" applyFill="1" applyBorder="1" applyAlignment="1" applyProtection="1">
      <alignment horizontal="left" vertical="center" wrapText="1"/>
      <protection locked="0"/>
    </xf>
    <xf numFmtId="0" fontId="6" fillId="4" borderId="24" xfId="0" applyFont="1" applyFill="1" applyBorder="1" applyAlignment="1" applyProtection="1">
      <alignment horizontal="left" vertical="center" wrapText="1"/>
      <protection locked="0"/>
    </xf>
    <xf numFmtId="0" fontId="6" fillId="4" borderId="8" xfId="0" applyFont="1" applyFill="1" applyBorder="1" applyAlignment="1" applyProtection="1">
      <alignment horizontal="left" vertical="center" wrapText="1"/>
      <protection locked="0"/>
    </xf>
    <xf numFmtId="0" fontId="6" fillId="4" borderId="56" xfId="0" applyFont="1" applyFill="1" applyBorder="1" applyAlignment="1" applyProtection="1">
      <alignment horizontal="left" vertical="center" wrapText="1"/>
      <protection locked="0"/>
    </xf>
    <xf numFmtId="0" fontId="6" fillId="4" borderId="84" xfId="0" applyFont="1" applyFill="1" applyBorder="1" applyAlignment="1" applyProtection="1">
      <alignment horizontal="left" vertical="center" wrapText="1"/>
      <protection locked="0"/>
    </xf>
    <xf numFmtId="0" fontId="6" fillId="4" borderId="85" xfId="0" applyFont="1" applyFill="1" applyBorder="1" applyAlignment="1" applyProtection="1">
      <alignment horizontal="left" vertical="center" wrapText="1"/>
      <protection locked="0"/>
    </xf>
    <xf numFmtId="0" fontId="6" fillId="4" borderId="14" xfId="0" applyFont="1" applyFill="1" applyBorder="1" applyAlignment="1" applyProtection="1">
      <alignment horizontal="left" vertical="center" wrapText="1" shrinkToFit="1"/>
      <protection locked="0"/>
    </xf>
    <xf numFmtId="0" fontId="6" fillId="4" borderId="53" xfId="0" applyFont="1" applyFill="1" applyBorder="1" applyAlignment="1" applyProtection="1">
      <alignment horizontal="left" vertical="center" wrapText="1" shrinkToFit="1"/>
      <protection locked="0"/>
    </xf>
    <xf numFmtId="0" fontId="6" fillId="4" borderId="68" xfId="0" applyFont="1" applyFill="1" applyBorder="1" applyAlignment="1" applyProtection="1">
      <alignment horizontal="left" vertical="center" wrapText="1" shrinkToFit="1"/>
      <protection locked="0"/>
    </xf>
    <xf numFmtId="15" fontId="6" fillId="4" borderId="59" xfId="0" applyNumberFormat="1" applyFont="1" applyFill="1" applyBorder="1" applyAlignment="1" applyProtection="1">
      <alignment horizontal="left" vertical="center" wrapText="1"/>
      <protection locked="0"/>
    </xf>
    <xf numFmtId="15" fontId="6" fillId="4" borderId="60" xfId="0" applyNumberFormat="1" applyFont="1" applyFill="1" applyBorder="1" applyAlignment="1" applyProtection="1">
      <alignment horizontal="left" vertical="center" wrapText="1"/>
      <protection locked="0"/>
    </xf>
    <xf numFmtId="15" fontId="6" fillId="4" borderId="70" xfId="0" applyNumberFormat="1" applyFont="1" applyFill="1" applyBorder="1" applyAlignment="1" applyProtection="1">
      <alignment horizontal="left" vertical="center" wrapText="1"/>
      <protection locked="0"/>
    </xf>
    <xf numFmtId="15" fontId="6" fillId="4" borderId="87" xfId="0" applyNumberFormat="1" applyFont="1" applyFill="1" applyBorder="1" applyAlignment="1" applyProtection="1">
      <alignment horizontal="left" vertical="center" wrapText="1"/>
      <protection locked="0"/>
    </xf>
    <xf numFmtId="0" fontId="12" fillId="4" borderId="61" xfId="0" applyFont="1" applyFill="1" applyBorder="1" applyAlignment="1" applyProtection="1">
      <alignment horizontal="left" vertical="center" wrapText="1" shrinkToFit="1"/>
      <protection locked="0"/>
    </xf>
    <xf numFmtId="0" fontId="6" fillId="4" borderId="71" xfId="0" applyFont="1" applyFill="1" applyBorder="1" applyAlignment="1" applyProtection="1">
      <alignment horizontal="left" vertical="center" wrapText="1"/>
      <protection locked="0"/>
    </xf>
    <xf numFmtId="0" fontId="6" fillId="4" borderId="72" xfId="0" applyFont="1" applyFill="1" applyBorder="1" applyAlignment="1" applyProtection="1">
      <alignment horizontal="left" vertical="center" wrapText="1"/>
      <protection locked="0"/>
    </xf>
    <xf numFmtId="0" fontId="6" fillId="4" borderId="90" xfId="0" applyFont="1" applyFill="1" applyBorder="1" applyAlignment="1" applyProtection="1">
      <alignment horizontal="left" vertical="center" wrapText="1"/>
      <protection locked="0"/>
    </xf>
    <xf numFmtId="15" fontId="11" fillId="4" borderId="44" xfId="0" applyNumberFormat="1" applyFont="1" applyFill="1" applyBorder="1" applyAlignment="1" applyProtection="1">
      <alignment horizontal="left" vertical="center" wrapText="1"/>
      <protection locked="0"/>
    </xf>
  </cellXfs>
  <cellStyles count="2">
    <cellStyle name="Hyperlink" xfId="1" builtinId="8"/>
    <cellStyle name="Normal" xfId="0" builtinId="0"/>
  </cellStyles>
  <dxfs count="0"/>
  <tableStyles count="0" defaultTableStyle="TableStyleMedium2" defaultPivotStyle="PivotStyleLight16"/>
  <colors>
    <mruColors>
      <color rgb="FFFFFFC1"/>
      <color rgb="FFFFFFCC"/>
      <color rgb="FFFFFFBD"/>
      <color rgb="FFE5FB93"/>
      <color rgb="FFE6FB9B"/>
      <color rgb="FFFF7C80"/>
      <color rgb="FFFFFFA3"/>
      <color rgb="FFFFFFA7"/>
      <color rgb="FFCC99FF"/>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15</xdr:row>
          <xdr:rowOff>182880</xdr:rowOff>
        </xdr:from>
        <xdr:to>
          <xdr:col>0</xdr:col>
          <xdr:colOff>1135380</xdr:colOff>
          <xdr:row>16</xdr:row>
          <xdr:rowOff>0</xdr:rowOff>
        </xdr:to>
        <xdr:sp macro="" textlink="">
          <xdr:nvSpPr>
            <xdr:cNvPr id="2053" name="Check Box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Same as Above</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vishal6jain@gmail.com" TargetMode="External"/><Relationship Id="rId6" Type="http://schemas.openxmlformats.org/officeDocument/2006/relationships/ctrlProp" Target="../ctrlProps/ctrlProp1.xml"/><Relationship Id="rId5" Type="http://schemas.openxmlformats.org/officeDocument/2006/relationships/vmlDrawing" Target="../drawings/vmlDrawing2.v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130"/>
  <sheetViews>
    <sheetView showGridLines="0" tabSelected="1" workbookViewId="0">
      <selection activeCell="A7" sqref="A7:XFD1048576"/>
    </sheetView>
  </sheetViews>
  <sheetFormatPr defaultColWidth="0" defaultRowHeight="14.4" zeroHeight="1" x14ac:dyDescent="0.3"/>
  <cols>
    <col min="1" max="1" width="4.44140625" customWidth="1"/>
    <col min="2" max="2" width="62.109375" bestFit="1" customWidth="1"/>
    <col min="3" max="5" width="9.109375" hidden="1" customWidth="1"/>
    <col min="6" max="6" width="27.6640625" hidden="1" customWidth="1"/>
    <col min="7" max="16384" width="9.109375" hidden="1"/>
  </cols>
  <sheetData>
    <row r="1" spans="1:8" ht="14.25" customHeight="1" x14ac:dyDescent="0.3">
      <c r="A1" s="101" t="s">
        <v>100</v>
      </c>
      <c r="B1" s="101"/>
      <c r="F1" t="s">
        <v>2</v>
      </c>
      <c r="G1" t="s">
        <v>97</v>
      </c>
      <c r="H1" t="b">
        <f t="shared" ref="H1:H11" ca="1" si="0">IF(TRIM(INDIRECT("Employment_Form!" &amp; G1))="",FALSE, TRUE)</f>
        <v>1</v>
      </c>
    </row>
    <row r="2" spans="1:8" ht="14.25" customHeight="1" x14ac:dyDescent="0.3">
      <c r="A2" s="101"/>
      <c r="B2" s="101"/>
      <c r="F2" t="s">
        <v>4</v>
      </c>
      <c r="G2" t="s">
        <v>98</v>
      </c>
      <c r="H2" t="b">
        <f t="shared" ca="1" si="0"/>
        <v>1</v>
      </c>
    </row>
    <row r="3" spans="1:8" ht="14.25" customHeight="1" x14ac:dyDescent="0.3">
      <c r="A3" s="101"/>
      <c r="B3" s="101"/>
      <c r="F3" t="s">
        <v>5</v>
      </c>
      <c r="G3" t="s">
        <v>99</v>
      </c>
      <c r="H3" t="b">
        <f t="shared" ca="1" si="0"/>
        <v>1</v>
      </c>
    </row>
    <row r="4" spans="1:8" ht="14.25" customHeight="1" x14ac:dyDescent="0.3">
      <c r="A4" s="101"/>
      <c r="B4" s="101"/>
      <c r="F4" t="s">
        <v>6</v>
      </c>
      <c r="G4" t="s">
        <v>101</v>
      </c>
      <c r="H4" t="b">
        <f t="shared" ca="1" si="0"/>
        <v>1</v>
      </c>
    </row>
    <row r="5" spans="1:8" ht="14.25" customHeight="1" x14ac:dyDescent="0.3">
      <c r="A5" s="101"/>
      <c r="B5" s="101"/>
      <c r="F5" t="s">
        <v>7</v>
      </c>
      <c r="G5" t="s">
        <v>102</v>
      </c>
      <c r="H5" t="b">
        <f t="shared" ca="1" si="0"/>
        <v>1</v>
      </c>
    </row>
    <row r="6" spans="1:8" ht="14.25" customHeight="1" x14ac:dyDescent="0.3">
      <c r="A6" s="101"/>
      <c r="B6" s="101"/>
      <c r="F6" t="s">
        <v>8</v>
      </c>
      <c r="G6" t="s">
        <v>103</v>
      </c>
      <c r="H6" t="b">
        <f t="shared" ca="1" si="0"/>
        <v>1</v>
      </c>
    </row>
    <row r="7" spans="1:8" hidden="1" x14ac:dyDescent="0.3">
      <c r="A7" s="22"/>
      <c r="F7" t="s">
        <v>9</v>
      </c>
      <c r="G7" t="s">
        <v>104</v>
      </c>
      <c r="H7" t="b">
        <f t="shared" ca="1" si="0"/>
        <v>1</v>
      </c>
    </row>
    <row r="8" spans="1:8" hidden="1" x14ac:dyDescent="0.3">
      <c r="F8" t="s">
        <v>10</v>
      </c>
      <c r="G8" t="s">
        <v>105</v>
      </c>
      <c r="H8" t="b">
        <f t="shared" ca="1" si="0"/>
        <v>1</v>
      </c>
    </row>
    <row r="9" spans="1:8" hidden="1" x14ac:dyDescent="0.3">
      <c r="F9" t="s">
        <v>11</v>
      </c>
      <c r="G9" t="s">
        <v>106</v>
      </c>
      <c r="H9" t="b">
        <f t="shared" ca="1" si="0"/>
        <v>1</v>
      </c>
    </row>
    <row r="10" spans="1:8" hidden="1" x14ac:dyDescent="0.3">
      <c r="F10" t="s">
        <v>12</v>
      </c>
      <c r="G10" t="s">
        <v>107</v>
      </c>
      <c r="H10" t="b">
        <f t="shared" ca="1" si="0"/>
        <v>1</v>
      </c>
    </row>
    <row r="11" spans="1:8" hidden="1" x14ac:dyDescent="0.3">
      <c r="F11" t="s">
        <v>13</v>
      </c>
      <c r="G11" t="s">
        <v>108</v>
      </c>
      <c r="H11" t="b">
        <f t="shared" ca="1" si="0"/>
        <v>1</v>
      </c>
    </row>
    <row r="12" spans="1:8" hidden="1" x14ac:dyDescent="0.3">
      <c r="F12" t="s">
        <v>22</v>
      </c>
      <c r="G12" t="s">
        <v>109</v>
      </c>
      <c r="H12" t="b">
        <f ca="1">IF(OR(TRIM(INDIRECT("Employment_Form!" &amp; G12))="Type Address Here",TRIM(INDIRECT("Employment_Form!" &amp; G12))=""),FALSE, TRUE)</f>
        <v>1</v>
      </c>
    </row>
    <row r="13" spans="1:8" hidden="1" x14ac:dyDescent="0.3">
      <c r="F13" t="s">
        <v>24</v>
      </c>
      <c r="G13" t="s">
        <v>110</v>
      </c>
      <c r="H13" t="b">
        <f ca="1">IF(OR(TRIM(INDIRECT("Employment_Form!" &amp; G13))=F13,TRIM(INDIRECT("Employment_Form!" &amp; G13))=""),FALSE, TRUE)</f>
        <v>1</v>
      </c>
    </row>
    <row r="14" spans="1:8" hidden="1" x14ac:dyDescent="0.3">
      <c r="F14" t="s">
        <v>25</v>
      </c>
      <c r="G14" t="s">
        <v>111</v>
      </c>
      <c r="H14" t="b">
        <f ca="1">IF(OR(TRIM(INDIRECT("Employment_Form!" &amp; G14))=F14,TRIM(INDIRECT("Employment_Form!" &amp; G14))=""),FALSE, TRUE)</f>
        <v>1</v>
      </c>
    </row>
    <row r="15" spans="1:8" hidden="1" x14ac:dyDescent="0.3">
      <c r="F15" t="s">
        <v>20</v>
      </c>
      <c r="G15" t="s">
        <v>112</v>
      </c>
      <c r="H15" t="b">
        <f ca="1">IF(TRIM(INDIRECT("Employment_Form!" &amp; G15))="",FALSE, TRUE)</f>
        <v>1</v>
      </c>
    </row>
    <row r="16" spans="1:8" hidden="1" x14ac:dyDescent="0.3">
      <c r="F16" t="s">
        <v>113</v>
      </c>
      <c r="G16" t="s">
        <v>114</v>
      </c>
      <c r="H16" t="b">
        <f ca="1">IF(TRIM(INDIRECT("Employment_Form!" &amp; G16))="",FALSE, TRUE)</f>
        <v>1</v>
      </c>
    </row>
    <row r="17" spans="6:8" hidden="1" x14ac:dyDescent="0.3">
      <c r="F17" t="s">
        <v>28</v>
      </c>
      <c r="G17" t="s">
        <v>115</v>
      </c>
      <c r="H17" t="b">
        <f ca="1">IF(OR(TRIM(INDIRECT("Employment_Form!" &amp; G17))="Type Address Here",TRIM(INDIRECT("Employment_Form!" &amp; G17))=""),FALSE, TRUE)</f>
        <v>1</v>
      </c>
    </row>
    <row r="18" spans="6:8" hidden="1" x14ac:dyDescent="0.3">
      <c r="F18" t="s">
        <v>24</v>
      </c>
      <c r="G18" t="s">
        <v>116</v>
      </c>
      <c r="H18" t="b">
        <f ca="1">IF(OR(TRIM(INDIRECT("Employment_Form!" &amp; G18))=F18,TRIM(INDIRECT("Employment_Form!" &amp; G18))=""),FALSE, TRUE)</f>
        <v>1</v>
      </c>
    </row>
    <row r="19" spans="6:8" hidden="1" x14ac:dyDescent="0.3">
      <c r="F19" t="s">
        <v>25</v>
      </c>
      <c r="G19" t="s">
        <v>117</v>
      </c>
      <c r="H19" t="b">
        <f ca="1">IF(OR(TRIM(INDIRECT("Employment_Form!" &amp; G19))=F19,TRIM(INDIRECT("Employment_Form!" &amp; G19))=""),FALSE, TRUE)</f>
        <v>1</v>
      </c>
    </row>
    <row r="20" spans="6:8" hidden="1" x14ac:dyDescent="0.3">
      <c r="F20" t="s">
        <v>20</v>
      </c>
      <c r="G20" t="s">
        <v>118</v>
      </c>
      <c r="H20" t="b">
        <f ca="1">IF(TRIM(INDIRECT("Employment_Form!" &amp; G20))="",FALSE, TRUE)</f>
        <v>1</v>
      </c>
    </row>
    <row r="21" spans="6:8" hidden="1" x14ac:dyDescent="0.3">
      <c r="F21" t="s">
        <v>113</v>
      </c>
      <c r="G21" t="s">
        <v>119</v>
      </c>
      <c r="H21" t="b">
        <f ca="1">IF(TRIM(INDIRECT("Employment_Form!" &amp; G21))="",FALSE, TRUE)</f>
        <v>1</v>
      </c>
    </row>
    <row r="22" spans="6:8" hidden="1" x14ac:dyDescent="0.3">
      <c r="F22" t="s">
        <v>217</v>
      </c>
      <c r="G22" t="s">
        <v>120</v>
      </c>
      <c r="H22" t="b">
        <f ca="1">IF(OR(TRIM(INDIRECT("Employment_Form!" &amp; G22))=F22,TRIM(INDIRECT("Employment_Form!" &amp; G22))=""),FALSE, TRUE)</f>
        <v>1</v>
      </c>
    </row>
    <row r="23" spans="6:8" hidden="1" x14ac:dyDescent="0.3">
      <c r="F23" t="s">
        <v>210</v>
      </c>
      <c r="G23" t="s">
        <v>121</v>
      </c>
      <c r="H23" t="b">
        <f ca="1">IF(OR(TRIM(INDIRECT("Employment_Form!" &amp; G23))=F23,TRIM(INDIRECT("Employment_Form!" &amp; G23))=""),FALSE, TRUE)</f>
        <v>1</v>
      </c>
    </row>
    <row r="24" spans="6:8" hidden="1" x14ac:dyDescent="0.3">
      <c r="F24" t="s">
        <v>211</v>
      </c>
      <c r="G24" t="s">
        <v>122</v>
      </c>
      <c r="H24" t="b">
        <f ca="1">IF(OR(TRIM(INDIRECT("Employment_Form!" &amp; G24))=F24,TRIM(INDIRECT("Employment_Form!" &amp; G24))=""),FALSE, TRUE)</f>
        <v>1</v>
      </c>
    </row>
    <row r="25" spans="6:8" hidden="1" x14ac:dyDescent="0.3">
      <c r="F25" t="s">
        <v>44</v>
      </c>
      <c r="G25" t="s">
        <v>123</v>
      </c>
      <c r="H25" t="b">
        <f t="shared" ref="H25:H37" ca="1" si="1">IF(TRIM(INDIRECT("Employment_Form!" &amp; G25))="",FALSE, TRUE)</f>
        <v>1</v>
      </c>
    </row>
    <row r="26" spans="6:8" hidden="1" x14ac:dyDescent="0.3">
      <c r="F26" t="s">
        <v>124</v>
      </c>
      <c r="G26" t="s">
        <v>125</v>
      </c>
      <c r="H26" t="b">
        <f ca="1">IF(TRIM(INDIRECT("Employment_Form!" &amp; G25))="Yes",TRUE,IF(TRIM(INDIRECT("Employment_Form!" &amp; G26))="",FALSE, TRUE))</f>
        <v>1</v>
      </c>
    </row>
    <row r="27" spans="6:8" hidden="1" x14ac:dyDescent="0.3">
      <c r="F27" t="s">
        <v>126</v>
      </c>
      <c r="G27" t="s">
        <v>128</v>
      </c>
      <c r="H27" t="b">
        <f t="shared" ca="1" si="1"/>
        <v>1</v>
      </c>
    </row>
    <row r="28" spans="6:8" hidden="1" x14ac:dyDescent="0.3">
      <c r="F28" t="s">
        <v>127</v>
      </c>
      <c r="G28" t="s">
        <v>129</v>
      </c>
      <c r="H28" t="b">
        <f t="shared" ca="1" si="1"/>
        <v>1</v>
      </c>
    </row>
    <row r="29" spans="6:8" hidden="1" x14ac:dyDescent="0.3">
      <c r="F29" t="s">
        <v>70</v>
      </c>
      <c r="G29" t="s">
        <v>234</v>
      </c>
      <c r="H29" t="b">
        <f t="shared" ca="1" si="1"/>
        <v>1</v>
      </c>
    </row>
    <row r="30" spans="6:8" hidden="1" x14ac:dyDescent="0.3">
      <c r="F30" t="s">
        <v>71</v>
      </c>
      <c r="G30" t="s">
        <v>235</v>
      </c>
      <c r="H30" t="b">
        <f t="shared" ca="1" si="1"/>
        <v>1</v>
      </c>
    </row>
    <row r="31" spans="6:8" hidden="1" x14ac:dyDescent="0.3">
      <c r="F31" t="s">
        <v>72</v>
      </c>
      <c r="G31" t="s">
        <v>236</v>
      </c>
      <c r="H31" t="b">
        <f t="shared" ca="1" si="1"/>
        <v>1</v>
      </c>
    </row>
    <row r="32" spans="6:8" hidden="1" x14ac:dyDescent="0.3">
      <c r="F32" t="s">
        <v>73</v>
      </c>
      <c r="G32" t="s">
        <v>237</v>
      </c>
      <c r="H32" t="b">
        <f t="shared" ca="1" si="1"/>
        <v>1</v>
      </c>
    </row>
    <row r="33" spans="6:8" hidden="1" x14ac:dyDescent="0.3">
      <c r="F33" t="s">
        <v>74</v>
      </c>
      <c r="G33" t="s">
        <v>238</v>
      </c>
      <c r="H33" t="b">
        <f t="shared" ca="1" si="1"/>
        <v>1</v>
      </c>
    </row>
    <row r="34" spans="6:8" hidden="1" x14ac:dyDescent="0.3">
      <c r="F34" t="s">
        <v>246</v>
      </c>
      <c r="G34" t="s">
        <v>239</v>
      </c>
      <c r="H34" t="b">
        <f t="shared" ca="1" si="1"/>
        <v>1</v>
      </c>
    </row>
    <row r="35" spans="6:8" hidden="1" x14ac:dyDescent="0.3">
      <c r="F35" t="s">
        <v>75</v>
      </c>
      <c r="G35" t="s">
        <v>240</v>
      </c>
      <c r="H35" t="b">
        <f t="shared" ca="1" si="1"/>
        <v>1</v>
      </c>
    </row>
    <row r="36" spans="6:8" hidden="1" x14ac:dyDescent="0.3">
      <c r="F36" t="s">
        <v>76</v>
      </c>
      <c r="G36" t="s">
        <v>241</v>
      </c>
      <c r="H36" t="b">
        <f t="shared" ca="1" si="1"/>
        <v>1</v>
      </c>
    </row>
    <row r="37" spans="6:8" hidden="1" x14ac:dyDescent="0.3">
      <c r="F37" t="s">
        <v>77</v>
      </c>
      <c r="G37" t="s">
        <v>250</v>
      </c>
      <c r="H37" t="b">
        <f t="shared" ca="1" si="1"/>
        <v>1</v>
      </c>
    </row>
    <row r="38" spans="6:8" hidden="1" x14ac:dyDescent="0.3">
      <c r="F38" t="s">
        <v>33</v>
      </c>
      <c r="G38" t="s">
        <v>221</v>
      </c>
      <c r="H38" t="b">
        <f ca="1">IF(TRIM(INDIRECT("Employment_Form!" &amp; G38))="",FALSE, TRUE)</f>
        <v>1</v>
      </c>
    </row>
    <row r="39" spans="6:8" hidden="1" x14ac:dyDescent="0.3">
      <c r="F39" t="s">
        <v>91</v>
      </c>
      <c r="G39" t="s">
        <v>252</v>
      </c>
      <c r="H39" t="b">
        <f ca="1">IF(TRIM(INDIRECT("Employment_Form!" &amp; G39))="",FALSE, TRUE)</f>
        <v>1</v>
      </c>
    </row>
    <row r="40" spans="6:8" hidden="1" x14ac:dyDescent="0.3">
      <c r="F40" t="s">
        <v>243</v>
      </c>
      <c r="G40" t="s">
        <v>242</v>
      </c>
      <c r="H40" t="b">
        <f ca="1">IF(TRIM(INDIRECT("Employment_Form!" &amp; G40))="",FALSE, TRUE)</f>
        <v>1</v>
      </c>
    </row>
    <row r="41" spans="6:8" hidden="1" x14ac:dyDescent="0.3">
      <c r="F41" t="s">
        <v>244</v>
      </c>
      <c r="G41" t="s">
        <v>245</v>
      </c>
      <c r="H41" t="b">
        <f ca="1">IF(TRIM(INDIRECT("Employment_Form!" &amp; G41))="",FALSE, TRUE)</f>
        <v>1</v>
      </c>
    </row>
    <row r="42" spans="6:8" hidden="1" x14ac:dyDescent="0.3">
      <c r="F42" t="s">
        <v>34</v>
      </c>
      <c r="G42" t="s">
        <v>224</v>
      </c>
      <c r="H42" t="b">
        <f ca="1">IF(AND(TRIM(INDIRECT("Employment_Form!" &amp; G38)="Yes"),TRIM(INDIRECT("Employment_Form!" &amp; G42))=""),FALSE, TRUE)</f>
        <v>1</v>
      </c>
    </row>
    <row r="43" spans="6:8" hidden="1" x14ac:dyDescent="0.3">
      <c r="F43" t="s">
        <v>35</v>
      </c>
      <c r="G43" t="s">
        <v>222</v>
      </c>
      <c r="H43" t="b">
        <f ca="1">IF(AND(TRIM(INDIRECT("Employment_Form!" &amp; G38)="Yes"),TRIM(INDIRECT("Employment_Form!" &amp; G43))=""),FALSE, TRUE)</f>
        <v>1</v>
      </c>
    </row>
    <row r="44" spans="6:8" hidden="1" x14ac:dyDescent="0.3">
      <c r="F44" t="s">
        <v>37</v>
      </c>
      <c r="G44" t="s">
        <v>223</v>
      </c>
      <c r="H44" t="b">
        <f ca="1">IF(AND(TRIM(INDIRECT("Employment_Form!" &amp; G38)="Yes"),TRIM(INDIRECT("Employment_Form!" &amp; G44))=""),FALSE, TRUE)</f>
        <v>1</v>
      </c>
    </row>
    <row r="45" spans="6:8" hidden="1" x14ac:dyDescent="0.3">
      <c r="F45" t="s">
        <v>220</v>
      </c>
      <c r="G45" t="s">
        <v>251</v>
      </c>
      <c r="H45" t="b">
        <f ca="1">IF(AND(TRIM(INDIRECT("Employment_Form!" &amp; G45)&gt;=1),TRIM(Employment_Form!A124 )=""),FALSE, TRUE)</f>
        <v>1</v>
      </c>
    </row>
    <row r="46" spans="6:8" hidden="1" x14ac:dyDescent="0.3">
      <c r="F46" t="s">
        <v>225</v>
      </c>
      <c r="G46" t="s">
        <v>253</v>
      </c>
      <c r="H46" t="b">
        <f ca="1">IF(AND(TRIM(INDIRECT("Employment_Form!" &amp; G39)="Yes"),TRIM(INDIRECT("Employment_Form!" &amp; G46))=""),FALSE, TRUE)</f>
        <v>1</v>
      </c>
    </row>
    <row r="47" spans="6:8" hidden="1" x14ac:dyDescent="0.3"/>
    <row r="48" spans="6:8" hidden="1" x14ac:dyDescent="0.3">
      <c r="F48" t="s">
        <v>49</v>
      </c>
      <c r="G48" t="s">
        <v>130</v>
      </c>
      <c r="H48" t="b">
        <f ca="1">IF(TRIM(INDIRECT("Employment_Form!" &amp; G48))="",FALSE, TRUE)</f>
        <v>1</v>
      </c>
    </row>
    <row r="49" spans="6:8" hidden="1" x14ac:dyDescent="0.3">
      <c r="F49" s="40" t="s">
        <v>255</v>
      </c>
      <c r="G49" t="s">
        <v>131</v>
      </c>
      <c r="H49" t="b">
        <f ca="1">IF(TRIM(INDIRECT("Employment_Form!" &amp; G49))="",FALSE, TRUE)</f>
        <v>1</v>
      </c>
    </row>
    <row r="50" spans="6:8" hidden="1" x14ac:dyDescent="0.3">
      <c r="F50" t="s">
        <v>50</v>
      </c>
      <c r="G50" t="s">
        <v>132</v>
      </c>
      <c r="H50" t="b">
        <f ca="1">IF(TRIM(INDIRECT("Employment_Form!" &amp; G50))="",FALSE, TRUE)</f>
        <v>1</v>
      </c>
    </row>
    <row r="51" spans="6:8" hidden="1" x14ac:dyDescent="0.3">
      <c r="F51" t="s">
        <v>35</v>
      </c>
      <c r="G51" t="s">
        <v>133</v>
      </c>
      <c r="H51" t="b">
        <f ca="1">IF(TRIM(INDIRECT("Employment_Form!" &amp; G51))="",FALSE, TRUE)</f>
        <v>1</v>
      </c>
    </row>
    <row r="52" spans="6:8" hidden="1" x14ac:dyDescent="0.3">
      <c r="F52" t="s">
        <v>37</v>
      </c>
      <c r="G52" t="s">
        <v>134</v>
      </c>
      <c r="H52" t="b">
        <f ca="1">IF(TRIM(INDIRECT("Employment_Form!" &amp; G52))="",FALSE, TRUE)</f>
        <v>1</v>
      </c>
    </row>
    <row r="53" spans="6:8" hidden="1" x14ac:dyDescent="0.3">
      <c r="F53" t="s">
        <v>212</v>
      </c>
      <c r="G53" t="s">
        <v>135</v>
      </c>
      <c r="H53" t="b">
        <f t="shared" ref="H53:H61" ca="1" si="2">IF(OR(TRIM(INDIRECT("Employment_Form!" &amp; G53))=F53,TRIM(INDIRECT("Employment_Form!" &amp; G53))=""),FALSE, TRUE)</f>
        <v>1</v>
      </c>
    </row>
    <row r="54" spans="6:8" hidden="1" x14ac:dyDescent="0.3">
      <c r="F54" t="s">
        <v>213</v>
      </c>
      <c r="G54" t="s">
        <v>136</v>
      </c>
      <c r="H54" t="b">
        <f t="shared" ca="1" si="2"/>
        <v>1</v>
      </c>
    </row>
    <row r="55" spans="6:8" hidden="1" x14ac:dyDescent="0.3">
      <c r="F55" t="s">
        <v>214</v>
      </c>
      <c r="G55" t="s">
        <v>137</v>
      </c>
      <c r="H55" t="b">
        <f t="shared" ca="1" si="2"/>
        <v>1</v>
      </c>
    </row>
    <row r="56" spans="6:8" hidden="1" x14ac:dyDescent="0.3">
      <c r="F56" t="s">
        <v>215</v>
      </c>
      <c r="G56" t="s">
        <v>138</v>
      </c>
      <c r="H56" t="b">
        <f t="shared" ca="1" si="2"/>
        <v>1</v>
      </c>
    </row>
    <row r="57" spans="6:8" hidden="1" x14ac:dyDescent="0.3">
      <c r="F57" t="s">
        <v>212</v>
      </c>
      <c r="G57" t="s">
        <v>139</v>
      </c>
      <c r="H57" t="b">
        <f t="shared" ca="1" si="2"/>
        <v>1</v>
      </c>
    </row>
    <row r="58" spans="6:8" hidden="1" x14ac:dyDescent="0.3">
      <c r="F58" t="s">
        <v>213</v>
      </c>
      <c r="G58" t="s">
        <v>140</v>
      </c>
      <c r="H58" t="b">
        <f t="shared" ca="1" si="2"/>
        <v>1</v>
      </c>
    </row>
    <row r="59" spans="6:8" hidden="1" x14ac:dyDescent="0.3">
      <c r="F59" t="s">
        <v>211</v>
      </c>
      <c r="G59" t="s">
        <v>141</v>
      </c>
      <c r="H59" t="b">
        <f t="shared" ca="1" si="2"/>
        <v>1</v>
      </c>
    </row>
    <row r="60" spans="6:8" hidden="1" x14ac:dyDescent="0.3">
      <c r="F60" t="s">
        <v>214</v>
      </c>
      <c r="G60" t="s">
        <v>142</v>
      </c>
      <c r="H60" t="b">
        <f t="shared" ca="1" si="2"/>
        <v>1</v>
      </c>
    </row>
    <row r="61" spans="6:8" hidden="1" x14ac:dyDescent="0.3">
      <c r="F61" t="s">
        <v>215</v>
      </c>
      <c r="G61" t="s">
        <v>143</v>
      </c>
      <c r="H61" t="b">
        <f t="shared" ca="1" si="2"/>
        <v>1</v>
      </c>
    </row>
    <row r="62" spans="6:8" hidden="1" x14ac:dyDescent="0.3">
      <c r="F62" t="s">
        <v>55</v>
      </c>
      <c r="G62" t="s">
        <v>144</v>
      </c>
      <c r="H62" t="b">
        <f ca="1">IF(TRIM(INDIRECT("Employment_Form!" &amp; G62))="",FALSE, TRUE)</f>
        <v>1</v>
      </c>
    </row>
    <row r="63" spans="6:8" hidden="1" x14ac:dyDescent="0.3">
      <c r="F63" t="s">
        <v>56</v>
      </c>
      <c r="G63" t="s">
        <v>145</v>
      </c>
      <c r="H63" t="b">
        <f ca="1">IF(TRIM(INDIRECT("Employment_Form!" &amp; G63))="",FALSE, TRUE)</f>
        <v>1</v>
      </c>
    </row>
    <row r="64" spans="6:8" hidden="1" x14ac:dyDescent="0.3">
      <c r="F64" t="s">
        <v>57</v>
      </c>
      <c r="G64" t="s">
        <v>146</v>
      </c>
      <c r="H64" t="b">
        <f ca="1">IF(TRIM(INDIRECT("Employment_Form!" &amp; G64))="",FALSE, TRUE)</f>
        <v>1</v>
      </c>
    </row>
    <row r="65" spans="6:8" hidden="1" x14ac:dyDescent="0.3">
      <c r="F65" t="s">
        <v>58</v>
      </c>
      <c r="G65" t="s">
        <v>147</v>
      </c>
      <c r="H65" t="b">
        <f ca="1">IF(TRIM(INDIRECT("Employment_Form!" &amp; G65))="",FALSE, TRUE)</f>
        <v>1</v>
      </c>
    </row>
    <row r="66" spans="6:8" hidden="1" x14ac:dyDescent="0.3">
      <c r="F66" t="s">
        <v>59</v>
      </c>
      <c r="G66" t="s">
        <v>148</v>
      </c>
      <c r="H66" t="b">
        <f ca="1">IF(TRIM(INDIRECT("Employment_Form!" &amp; G66))="",FALSE, TRUE)</f>
        <v>1</v>
      </c>
    </row>
    <row r="67" spans="6:8" hidden="1" x14ac:dyDescent="0.3">
      <c r="F67" t="s">
        <v>60</v>
      </c>
      <c r="G67" t="s">
        <v>149</v>
      </c>
      <c r="H67" t="b">
        <f ca="1">IF(AND(TRIM(INDIRECT("Employment_Form!" &amp; G66)="Yes"),TRIM(INDIRECT("Employment_Form!" &amp; G67))=""),FALSE, TRUE)</f>
        <v>1</v>
      </c>
    </row>
    <row r="68" spans="6:8" hidden="1" x14ac:dyDescent="0.3"/>
    <row r="69" spans="6:8" hidden="1" x14ac:dyDescent="0.3">
      <c r="F69" t="s">
        <v>49</v>
      </c>
      <c r="G69" t="s">
        <v>150</v>
      </c>
      <c r="H69" t="b">
        <f ca="1">IF(TRIM(INDIRECT("Employment_Form!" &amp; G69))="",FALSE, TRUE)</f>
        <v>1</v>
      </c>
    </row>
    <row r="70" spans="6:8" hidden="1" x14ac:dyDescent="0.3">
      <c r="F70" s="40" t="s">
        <v>255</v>
      </c>
      <c r="G70" t="s">
        <v>151</v>
      </c>
      <c r="H70" t="b">
        <f ca="1">IF(TRIM(INDIRECT("Employment_Form!" &amp; G70))="",FALSE, TRUE)</f>
        <v>1</v>
      </c>
    </row>
    <row r="71" spans="6:8" hidden="1" x14ac:dyDescent="0.3">
      <c r="F71" t="s">
        <v>50</v>
      </c>
      <c r="G71" t="s">
        <v>152</v>
      </c>
      <c r="H71" t="b">
        <f ca="1">IF(TRIM(INDIRECT("Employment_Form!" &amp; G71))="",FALSE, TRUE)</f>
        <v>1</v>
      </c>
    </row>
    <row r="72" spans="6:8" hidden="1" x14ac:dyDescent="0.3">
      <c r="F72" t="s">
        <v>35</v>
      </c>
      <c r="G72" t="s">
        <v>153</v>
      </c>
      <c r="H72" t="b">
        <f ca="1">IF(TRIM(INDIRECT("Employment_Form!" &amp; G72))="",FALSE, TRUE)</f>
        <v>1</v>
      </c>
    </row>
    <row r="73" spans="6:8" hidden="1" x14ac:dyDescent="0.3">
      <c r="F73" t="s">
        <v>37</v>
      </c>
      <c r="G73" t="s">
        <v>154</v>
      </c>
      <c r="H73" t="b">
        <f ca="1">IF(TRIM(INDIRECT("Employment_Form!" &amp; G73))="",FALSE, TRUE)</f>
        <v>1</v>
      </c>
    </row>
    <row r="74" spans="6:8" hidden="1" x14ac:dyDescent="0.3">
      <c r="F74" t="s">
        <v>212</v>
      </c>
      <c r="G74" t="s">
        <v>155</v>
      </c>
      <c r="H74" t="b">
        <f t="shared" ref="H74:H82" ca="1" si="3">IF(OR(TRIM(INDIRECT("Employment_Form!" &amp; G74))=F74,TRIM(INDIRECT("Employment_Form!" &amp; G74))=""),FALSE, TRUE)</f>
        <v>1</v>
      </c>
    </row>
    <row r="75" spans="6:8" hidden="1" x14ac:dyDescent="0.3">
      <c r="F75" t="s">
        <v>213</v>
      </c>
      <c r="G75" t="s">
        <v>156</v>
      </c>
      <c r="H75" t="b">
        <f t="shared" ca="1" si="3"/>
        <v>1</v>
      </c>
    </row>
    <row r="76" spans="6:8" hidden="1" x14ac:dyDescent="0.3">
      <c r="F76" t="s">
        <v>214</v>
      </c>
      <c r="G76" t="s">
        <v>157</v>
      </c>
      <c r="H76" t="b">
        <f t="shared" ca="1" si="3"/>
        <v>0</v>
      </c>
    </row>
    <row r="77" spans="6:8" hidden="1" x14ac:dyDescent="0.3">
      <c r="F77" t="s">
        <v>215</v>
      </c>
      <c r="G77" t="s">
        <v>158</v>
      </c>
      <c r="H77" t="b">
        <f t="shared" ca="1" si="3"/>
        <v>1</v>
      </c>
    </row>
    <row r="78" spans="6:8" hidden="1" x14ac:dyDescent="0.3">
      <c r="F78" t="s">
        <v>212</v>
      </c>
      <c r="G78" t="s">
        <v>159</v>
      </c>
      <c r="H78" t="b">
        <f t="shared" ca="1" si="3"/>
        <v>1</v>
      </c>
    </row>
    <row r="79" spans="6:8" hidden="1" x14ac:dyDescent="0.3">
      <c r="F79" t="s">
        <v>213</v>
      </c>
      <c r="G79" t="s">
        <v>160</v>
      </c>
      <c r="H79" t="b">
        <f t="shared" ca="1" si="3"/>
        <v>1</v>
      </c>
    </row>
    <row r="80" spans="6:8" hidden="1" x14ac:dyDescent="0.3">
      <c r="F80" t="s">
        <v>211</v>
      </c>
      <c r="G80" t="s">
        <v>161</v>
      </c>
      <c r="H80" t="b">
        <f t="shared" ca="1" si="3"/>
        <v>1</v>
      </c>
    </row>
    <row r="81" spans="6:8" hidden="1" x14ac:dyDescent="0.3">
      <c r="F81" t="s">
        <v>214</v>
      </c>
      <c r="G81" t="s">
        <v>162</v>
      </c>
      <c r="H81" t="b">
        <f t="shared" ca="1" si="3"/>
        <v>0</v>
      </c>
    </row>
    <row r="82" spans="6:8" hidden="1" x14ac:dyDescent="0.3">
      <c r="F82" t="s">
        <v>215</v>
      </c>
      <c r="G82" t="s">
        <v>163</v>
      </c>
      <c r="H82" t="b">
        <f t="shared" ca="1" si="3"/>
        <v>1</v>
      </c>
    </row>
    <row r="83" spans="6:8" hidden="1" x14ac:dyDescent="0.3">
      <c r="F83" t="s">
        <v>55</v>
      </c>
      <c r="G83" t="s">
        <v>164</v>
      </c>
      <c r="H83" t="b">
        <f ca="1">IF(TRIM(INDIRECT("Employment_Form!" &amp; G83))="",FALSE, TRUE)</f>
        <v>1</v>
      </c>
    </row>
    <row r="84" spans="6:8" hidden="1" x14ac:dyDescent="0.3">
      <c r="F84" t="s">
        <v>56</v>
      </c>
      <c r="G84" t="s">
        <v>165</v>
      </c>
      <c r="H84" t="b">
        <f ca="1">IF(TRIM(INDIRECT("Employment_Form!" &amp; G84))="",FALSE, TRUE)</f>
        <v>1</v>
      </c>
    </row>
    <row r="85" spans="6:8" hidden="1" x14ac:dyDescent="0.3">
      <c r="F85" t="s">
        <v>57</v>
      </c>
      <c r="G85" t="s">
        <v>166</v>
      </c>
      <c r="H85" t="b">
        <f ca="1">IF(TRIM(INDIRECT("Employment_Form!" &amp; G85))="",FALSE, TRUE)</f>
        <v>0</v>
      </c>
    </row>
    <row r="86" spans="6:8" hidden="1" x14ac:dyDescent="0.3">
      <c r="F86" t="s">
        <v>58</v>
      </c>
      <c r="G86" t="s">
        <v>167</v>
      </c>
      <c r="H86" t="b">
        <f ca="1">IF(TRIM(INDIRECT("Employment_Form!" &amp; G86))="",FALSE, TRUE)</f>
        <v>1</v>
      </c>
    </row>
    <row r="87" spans="6:8" hidden="1" x14ac:dyDescent="0.3">
      <c r="F87" t="s">
        <v>59</v>
      </c>
      <c r="G87" t="s">
        <v>168</v>
      </c>
      <c r="H87" t="b">
        <f ca="1">IF(TRIM(INDIRECT("Employment_Form!" &amp; G87))="",FALSE, TRUE)</f>
        <v>1</v>
      </c>
    </row>
    <row r="88" spans="6:8" hidden="1" x14ac:dyDescent="0.3">
      <c r="F88" t="s">
        <v>60</v>
      </c>
      <c r="G88" t="s">
        <v>169</v>
      </c>
      <c r="H88" t="b">
        <f ca="1">IF(AND(TRIM(INDIRECT("Employment_Form!" &amp; G87)="Yes"),TRIM(INDIRECT("Employment_Form!" &amp; G88))=""),FALSE, TRUE)</f>
        <v>1</v>
      </c>
    </row>
    <row r="89" spans="6:8" hidden="1" x14ac:dyDescent="0.3"/>
    <row r="90" spans="6:8" hidden="1" x14ac:dyDescent="0.3">
      <c r="F90" t="s">
        <v>49</v>
      </c>
      <c r="G90" t="s">
        <v>170</v>
      </c>
      <c r="H90" t="b">
        <f ca="1">IF(TRIM(INDIRECT("Employment_Form!" &amp; G90))="",FALSE, TRUE)</f>
        <v>0</v>
      </c>
    </row>
    <row r="91" spans="6:8" hidden="1" x14ac:dyDescent="0.3">
      <c r="F91" s="40" t="s">
        <v>255</v>
      </c>
      <c r="G91" t="s">
        <v>171</v>
      </c>
      <c r="H91" t="b">
        <f ca="1">IF(TRIM(INDIRECT("Employment_Form!" &amp; G91))="",FALSE, TRUE)</f>
        <v>0</v>
      </c>
    </row>
    <row r="92" spans="6:8" hidden="1" x14ac:dyDescent="0.3">
      <c r="F92" t="s">
        <v>50</v>
      </c>
      <c r="G92" t="s">
        <v>172</v>
      </c>
      <c r="H92" t="b">
        <f ca="1">IF(TRIM(INDIRECT("Employment_Form!" &amp; G92))="",FALSE, TRUE)</f>
        <v>0</v>
      </c>
    </row>
    <row r="93" spans="6:8" hidden="1" x14ac:dyDescent="0.3">
      <c r="F93" t="s">
        <v>35</v>
      </c>
      <c r="G93" t="s">
        <v>173</v>
      </c>
      <c r="H93" t="b">
        <f ca="1">IF(TRIM(INDIRECT("Employment_Form!" &amp; G93))="",FALSE, TRUE)</f>
        <v>0</v>
      </c>
    </row>
    <row r="94" spans="6:8" hidden="1" x14ac:dyDescent="0.3">
      <c r="F94" t="s">
        <v>37</v>
      </c>
      <c r="G94" t="s">
        <v>174</v>
      </c>
      <c r="H94" t="b">
        <f ca="1">IF(TRIM(INDIRECT("Employment_Form!" &amp; G94))="",FALSE, TRUE)</f>
        <v>0</v>
      </c>
    </row>
    <row r="95" spans="6:8" hidden="1" x14ac:dyDescent="0.3">
      <c r="F95" t="s">
        <v>212</v>
      </c>
      <c r="G95" t="s">
        <v>175</v>
      </c>
      <c r="H95" t="b">
        <f t="shared" ref="H95:H103" ca="1" si="4">IF(OR(TRIM(INDIRECT("Employment_Form!" &amp; G95))=F95,TRIM(INDIRECT("Employment_Form!" &amp; G95))=""),FALSE, TRUE)</f>
        <v>0</v>
      </c>
    </row>
    <row r="96" spans="6:8" hidden="1" x14ac:dyDescent="0.3">
      <c r="F96" t="s">
        <v>213</v>
      </c>
      <c r="G96" t="s">
        <v>176</v>
      </c>
      <c r="H96" t="b">
        <f t="shared" ca="1" si="4"/>
        <v>0</v>
      </c>
    </row>
    <row r="97" spans="6:8" hidden="1" x14ac:dyDescent="0.3">
      <c r="F97" t="s">
        <v>214</v>
      </c>
      <c r="G97" t="s">
        <v>177</v>
      </c>
      <c r="H97" t="b">
        <f t="shared" ca="1" si="4"/>
        <v>0</v>
      </c>
    </row>
    <row r="98" spans="6:8" hidden="1" x14ac:dyDescent="0.3">
      <c r="F98" t="s">
        <v>215</v>
      </c>
      <c r="G98" t="s">
        <v>178</v>
      </c>
      <c r="H98" t="b">
        <f t="shared" ca="1" si="4"/>
        <v>0</v>
      </c>
    </row>
    <row r="99" spans="6:8" hidden="1" x14ac:dyDescent="0.3">
      <c r="F99" t="s">
        <v>212</v>
      </c>
      <c r="G99" t="s">
        <v>179</v>
      </c>
      <c r="H99" t="b">
        <f t="shared" ca="1" si="4"/>
        <v>0</v>
      </c>
    </row>
    <row r="100" spans="6:8" hidden="1" x14ac:dyDescent="0.3">
      <c r="F100" t="s">
        <v>213</v>
      </c>
      <c r="G100" t="s">
        <v>180</v>
      </c>
      <c r="H100" t="b">
        <f t="shared" ca="1" si="4"/>
        <v>0</v>
      </c>
    </row>
    <row r="101" spans="6:8" hidden="1" x14ac:dyDescent="0.3">
      <c r="F101" t="s">
        <v>211</v>
      </c>
      <c r="G101" t="s">
        <v>181</v>
      </c>
      <c r="H101" t="b">
        <f t="shared" ca="1" si="4"/>
        <v>0</v>
      </c>
    </row>
    <row r="102" spans="6:8" hidden="1" x14ac:dyDescent="0.3">
      <c r="F102" t="s">
        <v>214</v>
      </c>
      <c r="G102" t="s">
        <v>182</v>
      </c>
      <c r="H102" t="b">
        <f t="shared" ca="1" si="4"/>
        <v>0</v>
      </c>
    </row>
    <row r="103" spans="6:8" hidden="1" x14ac:dyDescent="0.3">
      <c r="F103" t="s">
        <v>215</v>
      </c>
      <c r="G103" t="s">
        <v>183</v>
      </c>
      <c r="H103" t="b">
        <f t="shared" ca="1" si="4"/>
        <v>0</v>
      </c>
    </row>
    <row r="104" spans="6:8" hidden="1" x14ac:dyDescent="0.3">
      <c r="F104" t="s">
        <v>55</v>
      </c>
      <c r="G104" t="s">
        <v>184</v>
      </c>
      <c r="H104" t="b">
        <f ca="1">IF(TRIM(INDIRECT("Employment_Form!" &amp; G104))="",FALSE, TRUE)</f>
        <v>0</v>
      </c>
    </row>
    <row r="105" spans="6:8" hidden="1" x14ac:dyDescent="0.3">
      <c r="F105" t="s">
        <v>56</v>
      </c>
      <c r="G105" t="s">
        <v>185</v>
      </c>
      <c r="H105" t="b">
        <f ca="1">IF(TRIM(INDIRECT("Employment_Form!" &amp; G105))="",FALSE, TRUE)</f>
        <v>0</v>
      </c>
    </row>
    <row r="106" spans="6:8" hidden="1" x14ac:dyDescent="0.3">
      <c r="F106" t="s">
        <v>57</v>
      </c>
      <c r="G106" t="s">
        <v>186</v>
      </c>
      <c r="H106" t="b">
        <f ca="1">IF(TRIM(INDIRECT("Employment_Form!" &amp; G106))="",FALSE, TRUE)</f>
        <v>0</v>
      </c>
    </row>
    <row r="107" spans="6:8" hidden="1" x14ac:dyDescent="0.3">
      <c r="F107" t="s">
        <v>58</v>
      </c>
      <c r="G107" t="s">
        <v>187</v>
      </c>
      <c r="H107" t="b">
        <f ca="1">IF(TRIM(INDIRECT("Employment_Form!" &amp; G107))="",FALSE, TRUE)</f>
        <v>0</v>
      </c>
    </row>
    <row r="108" spans="6:8" hidden="1" x14ac:dyDescent="0.3">
      <c r="F108" t="s">
        <v>59</v>
      </c>
      <c r="G108" t="s">
        <v>188</v>
      </c>
      <c r="H108" t="b">
        <f ca="1">IF(TRIM(INDIRECT("Employment_Form!" &amp; G108))="",FALSE, TRUE)</f>
        <v>0</v>
      </c>
    </row>
    <row r="109" spans="6:8" hidden="1" x14ac:dyDescent="0.3">
      <c r="F109" t="s">
        <v>60</v>
      </c>
      <c r="G109" t="s">
        <v>189</v>
      </c>
      <c r="H109" t="b">
        <f ca="1">IF(AND(TRIM(INDIRECT("Employment_Form!" &amp; G108)="Yes"),TRIM(INDIRECT("Employment_Form!" &amp; G109))=""),FALSE, TRUE)</f>
        <v>1</v>
      </c>
    </row>
    <row r="110" spans="6:8" hidden="1" x14ac:dyDescent="0.3"/>
    <row r="111" spans="6:8" hidden="1" x14ac:dyDescent="0.3">
      <c r="F111" t="s">
        <v>49</v>
      </c>
      <c r="G111" t="s">
        <v>190</v>
      </c>
      <c r="H111" t="b">
        <f ca="1">IF(TRIM(INDIRECT("Employment_Form!" &amp; G111))="",FALSE, TRUE)</f>
        <v>0</v>
      </c>
    </row>
    <row r="112" spans="6:8" hidden="1" x14ac:dyDescent="0.3">
      <c r="F112" s="40" t="s">
        <v>255</v>
      </c>
      <c r="G112" t="s">
        <v>191</v>
      </c>
      <c r="H112" t="b">
        <f ca="1">IF(TRIM(INDIRECT("Employment_Form!" &amp; G112))="",FALSE, TRUE)</f>
        <v>0</v>
      </c>
    </row>
    <row r="113" spans="6:8" hidden="1" x14ac:dyDescent="0.3">
      <c r="F113" t="s">
        <v>50</v>
      </c>
      <c r="G113" t="s">
        <v>192</v>
      </c>
      <c r="H113" t="b">
        <f ca="1">IF(TRIM(INDIRECT("Employment_Form!" &amp; G113))="",FALSE, TRUE)</f>
        <v>0</v>
      </c>
    </row>
    <row r="114" spans="6:8" hidden="1" x14ac:dyDescent="0.3">
      <c r="F114" t="s">
        <v>35</v>
      </c>
      <c r="G114" t="s">
        <v>193</v>
      </c>
      <c r="H114" t="b">
        <f ca="1">IF(TRIM(INDIRECT("Employment_Form!" &amp; G114))="",FALSE, TRUE)</f>
        <v>0</v>
      </c>
    </row>
    <row r="115" spans="6:8" hidden="1" x14ac:dyDescent="0.3">
      <c r="F115" t="s">
        <v>37</v>
      </c>
      <c r="G115" t="s">
        <v>194</v>
      </c>
      <c r="H115" t="b">
        <f ca="1">IF(TRIM(INDIRECT("Employment_Form!" &amp; G115))="",FALSE, TRUE)</f>
        <v>0</v>
      </c>
    </row>
    <row r="116" spans="6:8" hidden="1" x14ac:dyDescent="0.3">
      <c r="F116" t="s">
        <v>212</v>
      </c>
      <c r="G116" t="s">
        <v>195</v>
      </c>
      <c r="H116" t="b">
        <f t="shared" ref="H116:H124" ca="1" si="5">IF(OR(TRIM(INDIRECT("Employment_Form!" &amp; G116))=F116,TRIM(INDIRECT("Employment_Form!" &amp; G116))=""),FALSE, TRUE)</f>
        <v>0</v>
      </c>
    </row>
    <row r="117" spans="6:8" hidden="1" x14ac:dyDescent="0.3">
      <c r="F117" t="s">
        <v>213</v>
      </c>
      <c r="G117" t="s">
        <v>196</v>
      </c>
      <c r="H117" t="b">
        <f t="shared" ca="1" si="5"/>
        <v>0</v>
      </c>
    </row>
    <row r="118" spans="6:8" hidden="1" x14ac:dyDescent="0.3">
      <c r="F118" t="s">
        <v>214</v>
      </c>
      <c r="G118" t="s">
        <v>197</v>
      </c>
      <c r="H118" t="b">
        <f t="shared" ca="1" si="5"/>
        <v>0</v>
      </c>
    </row>
    <row r="119" spans="6:8" hidden="1" x14ac:dyDescent="0.3">
      <c r="F119" t="s">
        <v>215</v>
      </c>
      <c r="G119" t="s">
        <v>198</v>
      </c>
      <c r="H119" t="b">
        <f t="shared" ca="1" si="5"/>
        <v>0</v>
      </c>
    </row>
    <row r="120" spans="6:8" hidden="1" x14ac:dyDescent="0.3">
      <c r="F120" t="s">
        <v>212</v>
      </c>
      <c r="G120" t="s">
        <v>199</v>
      </c>
      <c r="H120" t="b">
        <f t="shared" ca="1" si="5"/>
        <v>0</v>
      </c>
    </row>
    <row r="121" spans="6:8" hidden="1" x14ac:dyDescent="0.3">
      <c r="F121" t="s">
        <v>213</v>
      </c>
      <c r="G121" t="s">
        <v>200</v>
      </c>
      <c r="H121" t="b">
        <f t="shared" ca="1" si="5"/>
        <v>0</v>
      </c>
    </row>
    <row r="122" spans="6:8" hidden="1" x14ac:dyDescent="0.3">
      <c r="F122" t="s">
        <v>211</v>
      </c>
      <c r="G122" t="s">
        <v>201</v>
      </c>
      <c r="H122" t="b">
        <f t="shared" ca="1" si="5"/>
        <v>0</v>
      </c>
    </row>
    <row r="123" spans="6:8" hidden="1" x14ac:dyDescent="0.3">
      <c r="F123" t="s">
        <v>214</v>
      </c>
      <c r="G123" t="s">
        <v>202</v>
      </c>
      <c r="H123" t="b">
        <f t="shared" ca="1" si="5"/>
        <v>0</v>
      </c>
    </row>
    <row r="124" spans="6:8" hidden="1" x14ac:dyDescent="0.3">
      <c r="F124" t="s">
        <v>215</v>
      </c>
      <c r="G124" t="s">
        <v>203</v>
      </c>
      <c r="H124" t="b">
        <f t="shared" ca="1" si="5"/>
        <v>0</v>
      </c>
    </row>
    <row r="125" spans="6:8" hidden="1" x14ac:dyDescent="0.3">
      <c r="F125" t="s">
        <v>55</v>
      </c>
      <c r="G125" t="s">
        <v>204</v>
      </c>
      <c r="H125" t="b">
        <f ca="1">IF(TRIM(INDIRECT("Employment_Form!" &amp; G125))="",FALSE, TRUE)</f>
        <v>0</v>
      </c>
    </row>
    <row r="126" spans="6:8" hidden="1" x14ac:dyDescent="0.3">
      <c r="F126" t="s">
        <v>56</v>
      </c>
      <c r="G126" t="s">
        <v>205</v>
      </c>
      <c r="H126" t="b">
        <f ca="1">IF(TRIM(INDIRECT("Employment_Form!" &amp; G126))="",FALSE, TRUE)</f>
        <v>0</v>
      </c>
    </row>
    <row r="127" spans="6:8" hidden="1" x14ac:dyDescent="0.3">
      <c r="F127" t="s">
        <v>57</v>
      </c>
      <c r="G127" t="s">
        <v>206</v>
      </c>
      <c r="H127" t="b">
        <f ca="1">IF(TRIM(INDIRECT("Employment_Form!" &amp; G127))="",FALSE, TRUE)</f>
        <v>0</v>
      </c>
    </row>
    <row r="128" spans="6:8" hidden="1" x14ac:dyDescent="0.3">
      <c r="F128" t="s">
        <v>58</v>
      </c>
      <c r="G128" t="s">
        <v>207</v>
      </c>
      <c r="H128" t="b">
        <f ca="1">IF(TRIM(INDIRECT("Employment_Form!" &amp; G128))="",FALSE, TRUE)</f>
        <v>0</v>
      </c>
    </row>
    <row r="129" spans="6:8" hidden="1" x14ac:dyDescent="0.3">
      <c r="F129" t="s">
        <v>59</v>
      </c>
      <c r="G129" t="s">
        <v>208</v>
      </c>
      <c r="H129" t="b">
        <f ca="1">IF(TRIM(INDIRECT("Employment_Form!" &amp; G129))="",FALSE, TRUE)</f>
        <v>0</v>
      </c>
    </row>
    <row r="130" spans="6:8" hidden="1" x14ac:dyDescent="0.3">
      <c r="F130" t="s">
        <v>60</v>
      </c>
      <c r="G130" t="s">
        <v>209</v>
      </c>
      <c r="H130" t="b">
        <f ca="1">IF(AND(TRIM(INDIRECT("Employment_Form!" &amp; G129)="Yes"),TRIM(INDIRECT("Employment_Form!" &amp; G130))=""),FALSE, TRUE)</f>
        <v>1</v>
      </c>
    </row>
  </sheetData>
  <sheetProtection password="BFD8" sheet="1" objects="1" scenarios="1" selectLockedCells="1"/>
  <mergeCells count="1">
    <mergeCell ref="A1:B6"/>
  </mergeCells>
  <pageMargins left="0.7" right="0.7" top="0.75" bottom="0.75" header="0.3" footer="0.3"/>
  <ignoredErrors>
    <ignoredError sqref="H26" formula="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M149"/>
  <sheetViews>
    <sheetView showGridLines="0" showWhiteSpace="0" topLeftCell="A40" zoomScaleNormal="100" zoomScalePageLayoutView="85" workbookViewId="0">
      <selection activeCell="E42" sqref="E42"/>
    </sheetView>
  </sheetViews>
  <sheetFormatPr defaultColWidth="0" defaultRowHeight="15" zeroHeight="1" thickBottom="1" x14ac:dyDescent="0.35"/>
  <cols>
    <col min="1" max="1" width="20.44140625" style="213" customWidth="1"/>
    <col min="2" max="2" width="24.109375" style="213" customWidth="1"/>
    <col min="3" max="3" width="23.44140625" style="213" customWidth="1"/>
    <col min="4" max="4" width="24.6640625" style="213" customWidth="1"/>
    <col min="5" max="5" width="25" style="213" customWidth="1"/>
    <col min="6" max="6" width="3.109375" style="213" customWidth="1"/>
    <col min="7" max="13" width="0" style="35" hidden="1" customWidth="1"/>
    <col min="14" max="16384" width="9.109375" style="35" hidden="1"/>
  </cols>
  <sheetData>
    <row r="1" spans="1:10" ht="48" customHeight="1" x14ac:dyDescent="0.55000000000000004">
      <c r="A1" s="102" t="s">
        <v>256</v>
      </c>
      <c r="B1" s="102"/>
      <c r="C1" s="102"/>
      <c r="D1" s="102"/>
      <c r="E1" s="123" t="s">
        <v>216</v>
      </c>
      <c r="F1" s="35"/>
      <c r="I1" s="35" t="b">
        <f>IF(A11&lt;&gt;"",AND(LEN(A11)=10,COUNT(MID(A11,{6,7,8,9},1)+0)=4,COUNT(SEARCH("~"&amp;MID(A11,{1,2,3,4,5,10},{1,1,1,1,1,999}),"ABCDEFGHIJKLMNOPQRSTUVWXYZ"))=6),TRUE)</f>
        <v>1</v>
      </c>
      <c r="J1" s="35" t="b">
        <f>IF(B11&lt;&gt;"",IF(AND(LEN(B11)=8,CODE(UPPER(LEFT(B11,1)))&gt;=65,CODE(UPPER(LEFT(B11,1)))&lt;=90,ISNUMBER(RIGHT(B11,7)*1)),TRUE,FALSE),TRUE)</f>
        <v>1</v>
      </c>
    </row>
    <row r="2" spans="1:10" ht="28.5" customHeight="1" thickBot="1" x14ac:dyDescent="0.35">
      <c r="A2" s="103" t="s">
        <v>0</v>
      </c>
      <c r="B2" s="103"/>
      <c r="C2" s="103"/>
      <c r="D2" s="103"/>
      <c r="E2" s="124"/>
      <c r="F2" s="35"/>
    </row>
    <row r="3" spans="1:10" ht="21" customHeight="1" thickBot="1" x14ac:dyDescent="0.35">
      <c r="A3" s="104" t="s">
        <v>1</v>
      </c>
      <c r="B3" s="105"/>
      <c r="C3" s="105"/>
      <c r="D3" s="105"/>
      <c r="E3" s="124"/>
      <c r="F3" s="35"/>
    </row>
    <row r="4" spans="1:10" ht="15" customHeight="1" x14ac:dyDescent="0.3">
      <c r="A4" s="1" t="s">
        <v>2</v>
      </c>
      <c r="B4" s="2" t="s">
        <v>3</v>
      </c>
      <c r="C4" s="2" t="s">
        <v>4</v>
      </c>
      <c r="D4" s="3" t="s">
        <v>5</v>
      </c>
      <c r="E4" s="124"/>
      <c r="F4" s="35"/>
    </row>
    <row r="5" spans="1:10" ht="30.75" customHeight="1" x14ac:dyDescent="0.3">
      <c r="A5" s="73" t="s">
        <v>263</v>
      </c>
      <c r="B5" s="74" t="s">
        <v>264</v>
      </c>
      <c r="C5" s="67" t="s">
        <v>265</v>
      </c>
      <c r="D5" s="67" t="s">
        <v>266</v>
      </c>
      <c r="E5" s="125"/>
      <c r="F5" s="35"/>
    </row>
    <row r="6" spans="1:10" ht="15" customHeight="1" x14ac:dyDescent="0.3">
      <c r="A6" s="4" t="s">
        <v>6</v>
      </c>
      <c r="B6" s="5" t="s">
        <v>218</v>
      </c>
      <c r="C6" s="6" t="s">
        <v>8</v>
      </c>
      <c r="D6" s="31" t="s">
        <v>9</v>
      </c>
      <c r="E6" s="121" t="s">
        <v>89</v>
      </c>
      <c r="F6" s="35"/>
    </row>
    <row r="7" spans="1:10" ht="30.75" customHeight="1" thickBot="1" x14ac:dyDescent="0.35">
      <c r="A7" s="70" t="s">
        <v>267</v>
      </c>
      <c r="B7" s="71" t="s">
        <v>268</v>
      </c>
      <c r="C7" s="72">
        <v>32787</v>
      </c>
      <c r="D7" s="67" t="s">
        <v>269</v>
      </c>
      <c r="E7" s="122"/>
      <c r="F7" s="35"/>
    </row>
    <row r="8" spans="1:10" ht="15" customHeight="1" x14ac:dyDescent="0.3">
      <c r="A8" s="7" t="s">
        <v>10</v>
      </c>
      <c r="B8" s="5" t="s">
        <v>11</v>
      </c>
      <c r="C8" s="6" t="s">
        <v>12</v>
      </c>
      <c r="D8" s="5" t="s">
        <v>13</v>
      </c>
      <c r="E8" s="27" t="s">
        <v>14</v>
      </c>
      <c r="F8" s="35"/>
    </row>
    <row r="9" spans="1:10" ht="30.75" customHeight="1" x14ac:dyDescent="0.3">
      <c r="A9" s="66">
        <v>919850895190</v>
      </c>
      <c r="B9" s="214" t="s">
        <v>270</v>
      </c>
      <c r="C9" s="67" t="s">
        <v>271</v>
      </c>
      <c r="D9" s="68" t="s">
        <v>272</v>
      </c>
      <c r="E9" s="69" t="s">
        <v>273</v>
      </c>
      <c r="F9" s="35"/>
    </row>
    <row r="10" spans="1:10" ht="15" customHeight="1" x14ac:dyDescent="0.3">
      <c r="A10" s="4" t="s">
        <v>15</v>
      </c>
      <c r="B10" s="5" t="s">
        <v>16</v>
      </c>
      <c r="C10" s="5" t="s">
        <v>17</v>
      </c>
      <c r="D10" s="8" t="s">
        <v>18</v>
      </c>
      <c r="E10" s="28" t="s">
        <v>19</v>
      </c>
      <c r="F10" s="35"/>
    </row>
    <row r="11" spans="1:10" ht="30.75" customHeight="1" thickBot="1" x14ac:dyDescent="0.35">
      <c r="A11" s="62" t="s">
        <v>274</v>
      </c>
      <c r="B11" s="63" t="s">
        <v>275</v>
      </c>
      <c r="C11" s="64">
        <v>399581124812</v>
      </c>
      <c r="D11" s="63"/>
      <c r="E11" s="65"/>
      <c r="F11" s="35"/>
    </row>
    <row r="12" spans="1:10" ht="9.9" customHeight="1" thickBot="1" x14ac:dyDescent="0.35">
      <c r="A12" s="106"/>
      <c r="B12" s="106"/>
      <c r="C12" s="106"/>
      <c r="D12" s="106"/>
      <c r="E12" s="106"/>
      <c r="F12" s="35"/>
    </row>
    <row r="13" spans="1:10" ht="30.75" customHeight="1" thickBot="1" x14ac:dyDescent="0.35">
      <c r="A13" s="107" t="s">
        <v>261</v>
      </c>
      <c r="B13" s="108"/>
      <c r="C13" s="109"/>
      <c r="D13" s="25" t="s">
        <v>20</v>
      </c>
      <c r="E13" s="26" t="s">
        <v>21</v>
      </c>
      <c r="F13" s="35"/>
    </row>
    <row r="14" spans="1:10" ht="35.1" customHeight="1" x14ac:dyDescent="0.3">
      <c r="A14" s="9" t="s">
        <v>22</v>
      </c>
      <c r="B14" s="136" t="s">
        <v>276</v>
      </c>
      <c r="C14" s="137"/>
      <c r="D14" s="217">
        <v>41910</v>
      </c>
      <c r="E14" s="51" t="s">
        <v>338</v>
      </c>
      <c r="F14" s="35"/>
    </row>
    <row r="15" spans="1:10" ht="30" customHeight="1" x14ac:dyDescent="0.3">
      <c r="A15" s="59" t="s">
        <v>277</v>
      </c>
      <c r="B15" s="58">
        <v>400072</v>
      </c>
      <c r="C15" s="58" t="s">
        <v>26</v>
      </c>
      <c r="D15" s="10" t="s">
        <v>27</v>
      </c>
      <c r="E15" s="52" t="s">
        <v>278</v>
      </c>
      <c r="F15" s="35"/>
    </row>
    <row r="16" spans="1:10" ht="35.1" customHeight="1" x14ac:dyDescent="0.3">
      <c r="A16" s="9" t="s">
        <v>28</v>
      </c>
      <c r="B16" s="136" t="s">
        <v>279</v>
      </c>
      <c r="C16" s="137"/>
      <c r="D16" s="217">
        <v>42473</v>
      </c>
      <c r="E16" s="53" t="s">
        <v>338</v>
      </c>
      <c r="F16" s="35"/>
    </row>
    <row r="17" spans="1:6" ht="30" customHeight="1" x14ac:dyDescent="0.3">
      <c r="A17" s="59" t="s">
        <v>280</v>
      </c>
      <c r="B17" s="58">
        <v>425003</v>
      </c>
      <c r="C17" s="58" t="s">
        <v>26</v>
      </c>
      <c r="D17" s="10" t="s">
        <v>27</v>
      </c>
      <c r="E17" s="54" t="s">
        <v>281</v>
      </c>
      <c r="F17" s="35"/>
    </row>
    <row r="18" spans="1:6" ht="35.1" customHeight="1" x14ac:dyDescent="0.3">
      <c r="A18" s="9" t="s">
        <v>29</v>
      </c>
      <c r="B18" s="136" t="s">
        <v>286</v>
      </c>
      <c r="C18" s="137"/>
      <c r="D18" s="216">
        <v>39295</v>
      </c>
      <c r="E18" s="215">
        <v>40702</v>
      </c>
      <c r="F18" s="35"/>
    </row>
    <row r="19" spans="1:6" ht="30" customHeight="1" x14ac:dyDescent="0.3">
      <c r="A19" s="59" t="s">
        <v>277</v>
      </c>
      <c r="B19" s="58">
        <v>400102</v>
      </c>
      <c r="C19" s="58" t="s">
        <v>26</v>
      </c>
      <c r="D19" s="10" t="s">
        <v>27</v>
      </c>
      <c r="E19" s="54" t="s">
        <v>278</v>
      </c>
      <c r="F19" s="35"/>
    </row>
    <row r="20" spans="1:6" ht="35.1" customHeight="1" x14ac:dyDescent="0.3">
      <c r="A20" s="9" t="s">
        <v>30</v>
      </c>
      <c r="B20" s="136" t="s">
        <v>287</v>
      </c>
      <c r="C20" s="137"/>
      <c r="D20" s="216">
        <v>40814</v>
      </c>
      <c r="E20" s="215">
        <v>41908</v>
      </c>
      <c r="F20" s="35"/>
    </row>
    <row r="21" spans="1:6" ht="30" customHeight="1" x14ac:dyDescent="0.3">
      <c r="A21" s="59" t="s">
        <v>288</v>
      </c>
      <c r="B21" s="58">
        <v>411038</v>
      </c>
      <c r="C21" s="58" t="s">
        <v>26</v>
      </c>
      <c r="D21" s="10" t="s">
        <v>27</v>
      </c>
      <c r="E21" s="52" t="s">
        <v>278</v>
      </c>
      <c r="F21" s="35"/>
    </row>
    <row r="22" spans="1:6" ht="35.1" customHeight="1" x14ac:dyDescent="0.3">
      <c r="A22" s="9" t="s">
        <v>31</v>
      </c>
      <c r="B22" s="136" t="s">
        <v>23</v>
      </c>
      <c r="C22" s="137"/>
      <c r="D22" s="57"/>
      <c r="E22" s="55"/>
      <c r="F22" s="35"/>
    </row>
    <row r="23" spans="1:6" ht="30" customHeight="1" thickBot="1" x14ac:dyDescent="0.35">
      <c r="A23" s="61" t="s">
        <v>24</v>
      </c>
      <c r="B23" s="60" t="s">
        <v>25</v>
      </c>
      <c r="C23" s="60" t="s">
        <v>26</v>
      </c>
      <c r="D23" s="11" t="s">
        <v>27</v>
      </c>
      <c r="E23" s="56"/>
      <c r="F23" s="35"/>
    </row>
    <row r="24" spans="1:6" ht="9.9" customHeight="1" thickBot="1" x14ac:dyDescent="0.35">
      <c r="A24" s="138"/>
      <c r="B24" s="138"/>
      <c r="C24" s="138"/>
      <c r="D24" s="138"/>
      <c r="E24" s="138"/>
      <c r="F24" s="35"/>
    </row>
    <row r="25" spans="1:6" ht="27.9" customHeight="1" x14ac:dyDescent="0.3">
      <c r="A25" s="110" t="s">
        <v>32</v>
      </c>
      <c r="B25" s="111"/>
      <c r="C25" s="112" t="s">
        <v>33</v>
      </c>
      <c r="D25" s="113"/>
      <c r="E25" s="49" t="s">
        <v>282</v>
      </c>
      <c r="F25" s="35"/>
    </row>
    <row r="26" spans="1:6" ht="15" customHeight="1" x14ac:dyDescent="0.3">
      <c r="A26" s="114" t="s">
        <v>283</v>
      </c>
      <c r="B26" s="115"/>
      <c r="C26" s="116" t="s">
        <v>34</v>
      </c>
      <c r="D26" s="117"/>
      <c r="E26" s="50"/>
      <c r="F26" s="35"/>
    </row>
    <row r="27" spans="1:6" ht="15" customHeight="1" x14ac:dyDescent="0.3">
      <c r="A27" s="114" t="s">
        <v>284</v>
      </c>
      <c r="B27" s="120"/>
      <c r="C27" s="118"/>
      <c r="D27" s="119"/>
      <c r="E27" s="50"/>
      <c r="F27" s="35"/>
    </row>
    <row r="28" spans="1:6" ht="15" customHeight="1" x14ac:dyDescent="0.3">
      <c r="A28" s="126" t="s">
        <v>254</v>
      </c>
      <c r="B28" s="127"/>
      <c r="C28" s="128"/>
      <c r="D28" s="129"/>
      <c r="E28" s="130"/>
      <c r="F28" s="35"/>
    </row>
    <row r="29" spans="1:6" ht="15" customHeight="1" thickBot="1" x14ac:dyDescent="0.35">
      <c r="A29" s="134" t="s">
        <v>285</v>
      </c>
      <c r="B29" s="135"/>
      <c r="C29" s="131"/>
      <c r="D29" s="132"/>
      <c r="E29" s="133"/>
      <c r="F29" s="35"/>
    </row>
    <row r="30" spans="1:6" ht="9.9" customHeight="1" thickBot="1" x14ac:dyDescent="0.35">
      <c r="A30" s="149"/>
      <c r="B30" s="149"/>
      <c r="C30" s="149"/>
      <c r="D30" s="149"/>
      <c r="E30" s="149"/>
      <c r="F30" s="35"/>
    </row>
    <row r="31" spans="1:6" ht="30.75" customHeight="1" thickBot="1" x14ac:dyDescent="0.35">
      <c r="A31" s="150" t="s">
        <v>260</v>
      </c>
      <c r="B31" s="105"/>
      <c r="C31" s="105"/>
      <c r="D31" s="105"/>
      <c r="E31" s="151"/>
      <c r="F31" s="35"/>
    </row>
    <row r="32" spans="1:6" ht="30" customHeight="1" x14ac:dyDescent="0.3">
      <c r="A32" s="12" t="s">
        <v>38</v>
      </c>
      <c r="B32" s="13" t="s">
        <v>39</v>
      </c>
      <c r="C32" s="13" t="s">
        <v>40</v>
      </c>
      <c r="D32" s="13" t="s">
        <v>41</v>
      </c>
      <c r="E32" s="29" t="s">
        <v>42</v>
      </c>
      <c r="F32" s="35"/>
    </row>
    <row r="33" spans="1:13" ht="33" customHeight="1" x14ac:dyDescent="0.3">
      <c r="A33" s="86" t="s">
        <v>289</v>
      </c>
      <c r="B33" s="44" t="s">
        <v>290</v>
      </c>
      <c r="C33" s="87" t="s">
        <v>292</v>
      </c>
      <c r="D33" s="44" t="s">
        <v>291</v>
      </c>
      <c r="E33" s="41">
        <v>6.41</v>
      </c>
      <c r="F33" s="35"/>
    </row>
    <row r="34" spans="1:13" ht="72" x14ac:dyDescent="0.3">
      <c r="A34" s="86" t="s">
        <v>293</v>
      </c>
      <c r="B34" s="44" t="s">
        <v>294</v>
      </c>
      <c r="C34" s="87" t="s">
        <v>295</v>
      </c>
      <c r="D34" s="44">
        <v>191</v>
      </c>
      <c r="E34" s="41">
        <v>63.73</v>
      </c>
      <c r="F34" s="35"/>
    </row>
    <row r="35" spans="1:13" ht="33" customHeight="1" x14ac:dyDescent="0.3">
      <c r="A35" s="86" t="s">
        <v>344</v>
      </c>
      <c r="B35" s="44" t="s">
        <v>339</v>
      </c>
      <c r="C35" s="87" t="s">
        <v>340</v>
      </c>
      <c r="D35" s="44" t="s">
        <v>343</v>
      </c>
      <c r="E35" s="41">
        <v>78.67</v>
      </c>
      <c r="F35" s="35"/>
    </row>
    <row r="36" spans="1:13" ht="33" customHeight="1" x14ac:dyDescent="0.3">
      <c r="A36" s="86" t="s">
        <v>345</v>
      </c>
      <c r="B36" s="44" t="s">
        <v>341</v>
      </c>
      <c r="C36" s="87" t="s">
        <v>342</v>
      </c>
      <c r="D36" s="44" t="s">
        <v>346</v>
      </c>
      <c r="E36" s="41">
        <v>71.33</v>
      </c>
      <c r="F36" s="35"/>
    </row>
    <row r="37" spans="1:13" ht="33" customHeight="1" thickBot="1" x14ac:dyDescent="0.35">
      <c r="A37" s="88"/>
      <c r="B37" s="89"/>
      <c r="C37" s="90"/>
      <c r="D37" s="89"/>
      <c r="E37" s="42"/>
      <c r="F37" s="35"/>
    </row>
    <row r="38" spans="1:13" ht="25.5" customHeight="1" thickBot="1" x14ac:dyDescent="0.35">
      <c r="A38" s="152" t="s">
        <v>43</v>
      </c>
      <c r="B38" s="153"/>
      <c r="C38" s="154"/>
      <c r="D38" s="155"/>
      <c r="E38" s="156"/>
      <c r="F38" s="35"/>
    </row>
    <row r="39" spans="1:13" ht="58.5" customHeight="1" thickBot="1" x14ac:dyDescent="0.35">
      <c r="A39" s="157"/>
      <c r="B39" s="157"/>
      <c r="C39" s="157"/>
      <c r="D39" s="157"/>
      <c r="E39" s="157"/>
      <c r="F39" s="35"/>
    </row>
    <row r="40" spans="1:13" ht="32.25" customHeight="1" thickBot="1" x14ac:dyDescent="0.35">
      <c r="A40" s="107" t="s">
        <v>259</v>
      </c>
      <c r="B40" s="105"/>
      <c r="C40" s="105"/>
      <c r="D40" s="105"/>
      <c r="E40" s="151"/>
      <c r="F40" s="35"/>
      <c r="J40" s="21" t="s">
        <v>93</v>
      </c>
      <c r="K40" s="21" t="s">
        <v>94</v>
      </c>
      <c r="L40" s="21" t="s">
        <v>95</v>
      </c>
      <c r="M40" s="21" t="s">
        <v>96</v>
      </c>
    </row>
    <row r="41" spans="1:13" ht="15" customHeight="1" x14ac:dyDescent="0.3">
      <c r="A41" s="139" t="s">
        <v>44</v>
      </c>
      <c r="B41" s="140"/>
      <c r="C41" s="140"/>
      <c r="D41" s="141"/>
      <c r="E41" s="47" t="s">
        <v>282</v>
      </c>
      <c r="F41" s="35"/>
      <c r="I41" s="35">
        <f ca="1">IF(OR(E41="Yes",E41=""),1,IF(OR(AND(E42=1,J41=1),AND(E42=2,J41=1,K41),AND(E42=3,J41=1,K41=1,L41=1),AND(OR(E42=4,E42="More than 4"),J41=1,K41=1,L41=1,M41=1)),1,0))</f>
        <v>1</v>
      </c>
      <c r="J41" s="35">
        <f ca="1">IF(COUNTIF(Sheet1!H48:H67,"False")&gt;0,0,1)</f>
        <v>1</v>
      </c>
      <c r="K41" s="35">
        <f ca="1">IF(COUNTIF(Sheet1!H69:H88,"False")&gt;0,0,1)</f>
        <v>0</v>
      </c>
      <c r="L41" s="35">
        <f ca="1">IF(COUNTIF(Sheet1!H90:H109,"False")&gt;0,0,1)</f>
        <v>0</v>
      </c>
      <c r="M41" s="35">
        <f ca="1">IF(COUNTIF(Sheet1!H111:H130,"False")&gt;0,0,1)</f>
        <v>0</v>
      </c>
    </row>
    <row r="42" spans="1:13" ht="15" customHeight="1" x14ac:dyDescent="0.3">
      <c r="A42" s="142" t="s">
        <v>45</v>
      </c>
      <c r="B42" s="143"/>
      <c r="C42" s="143"/>
      <c r="D42" s="144"/>
      <c r="E42" s="48">
        <v>1</v>
      </c>
      <c r="F42" s="35"/>
    </row>
    <row r="43" spans="1:13" ht="41.25" customHeight="1" x14ac:dyDescent="0.3">
      <c r="A43" s="14" t="s">
        <v>46</v>
      </c>
      <c r="B43" s="145" t="s">
        <v>47</v>
      </c>
      <c r="C43" s="146"/>
      <c r="D43" s="158" t="s">
        <v>48</v>
      </c>
      <c r="E43" s="159"/>
      <c r="F43" s="35"/>
    </row>
    <row r="44" spans="1:13" ht="30" customHeight="1" x14ac:dyDescent="0.3">
      <c r="A44" s="75" t="s">
        <v>49</v>
      </c>
      <c r="B44" s="218" t="s">
        <v>296</v>
      </c>
      <c r="C44" s="219"/>
      <c r="D44" s="218" t="s">
        <v>347</v>
      </c>
      <c r="E44" s="220"/>
      <c r="F44" s="35"/>
    </row>
    <row r="45" spans="1:13" ht="15" customHeight="1" x14ac:dyDescent="0.3">
      <c r="A45" s="147" t="s">
        <v>227</v>
      </c>
      <c r="B45" s="221" t="s">
        <v>297</v>
      </c>
      <c r="C45" s="137"/>
      <c r="D45" s="221" t="s">
        <v>348</v>
      </c>
      <c r="E45" s="222"/>
      <c r="F45" s="35"/>
    </row>
    <row r="46" spans="1:13" ht="15" customHeight="1" x14ac:dyDescent="0.3">
      <c r="A46" s="148"/>
      <c r="B46" s="223"/>
      <c r="C46" s="224"/>
      <c r="D46" s="223"/>
      <c r="E46" s="225"/>
      <c r="F46" s="35"/>
    </row>
    <row r="47" spans="1:13" ht="18.75" customHeight="1" x14ac:dyDescent="0.3">
      <c r="A47" s="14" t="s">
        <v>50</v>
      </c>
      <c r="B47" s="226" t="s">
        <v>298</v>
      </c>
      <c r="C47" s="227"/>
      <c r="D47" s="226">
        <v>12608</v>
      </c>
      <c r="E47" s="228"/>
      <c r="F47" s="35"/>
    </row>
    <row r="48" spans="1:13" ht="18.75" customHeight="1" x14ac:dyDescent="0.3">
      <c r="A48" s="161" t="s">
        <v>51</v>
      </c>
      <c r="B48" s="82" t="s">
        <v>35</v>
      </c>
      <c r="C48" s="83" t="s">
        <v>37</v>
      </c>
      <c r="D48" s="82" t="s">
        <v>35</v>
      </c>
      <c r="E48" s="85" t="s">
        <v>37</v>
      </c>
      <c r="F48" s="35"/>
    </row>
    <row r="49" spans="1:6" ht="18.75" customHeight="1" x14ac:dyDescent="0.3">
      <c r="A49" s="162"/>
      <c r="B49" s="229">
        <v>41911</v>
      </c>
      <c r="C49" s="230" t="s">
        <v>338</v>
      </c>
      <c r="D49" s="229">
        <v>40814</v>
      </c>
      <c r="E49" s="231">
        <v>41908</v>
      </c>
      <c r="F49" s="35"/>
    </row>
    <row r="50" spans="1:6" ht="18.75" customHeight="1" x14ac:dyDescent="0.3">
      <c r="A50" s="147" t="s">
        <v>52</v>
      </c>
      <c r="B50" s="232" t="s">
        <v>304</v>
      </c>
      <c r="C50" s="233"/>
      <c r="D50" s="232" t="s">
        <v>312</v>
      </c>
      <c r="E50" s="234"/>
      <c r="F50" s="35"/>
    </row>
    <row r="51" spans="1:6" ht="18.75" customHeight="1" x14ac:dyDescent="0.3">
      <c r="A51" s="160"/>
      <c r="B51" s="235" t="s">
        <v>300</v>
      </c>
      <c r="C51" s="236"/>
      <c r="D51" s="235" t="s">
        <v>313</v>
      </c>
      <c r="E51" s="237"/>
      <c r="F51" s="35"/>
    </row>
    <row r="52" spans="1:6" ht="18.75" customHeight="1" x14ac:dyDescent="0.3">
      <c r="A52" s="160"/>
      <c r="B52" s="238" t="s">
        <v>306</v>
      </c>
      <c r="C52" s="239"/>
      <c r="D52" s="238" t="s">
        <v>314</v>
      </c>
      <c r="E52" s="240"/>
      <c r="F52" s="35"/>
    </row>
    <row r="53" spans="1:6" ht="18.75" customHeight="1" x14ac:dyDescent="0.3">
      <c r="A53" s="148"/>
      <c r="B53" s="241" t="s">
        <v>307</v>
      </c>
      <c r="C53" s="242"/>
      <c r="D53" s="241" t="s">
        <v>315</v>
      </c>
      <c r="E53" s="243"/>
      <c r="F53" s="35"/>
    </row>
    <row r="54" spans="1:6" ht="18.75" customHeight="1" x14ac:dyDescent="0.3">
      <c r="A54" s="147" t="s">
        <v>54</v>
      </c>
      <c r="B54" s="232" t="s">
        <v>299</v>
      </c>
      <c r="C54" s="233"/>
      <c r="D54" s="232" t="s">
        <v>316</v>
      </c>
      <c r="E54" s="234"/>
      <c r="F54" s="35"/>
    </row>
    <row r="55" spans="1:6" ht="18.75" customHeight="1" x14ac:dyDescent="0.3">
      <c r="A55" s="160"/>
      <c r="B55" s="235" t="s">
        <v>305</v>
      </c>
      <c r="C55" s="236"/>
      <c r="D55" s="235" t="s">
        <v>317</v>
      </c>
      <c r="E55" s="237"/>
      <c r="F55" s="35"/>
    </row>
    <row r="56" spans="1:6" ht="18.75" customHeight="1" x14ac:dyDescent="0.3">
      <c r="A56" s="160"/>
      <c r="B56" s="238" t="s">
        <v>301</v>
      </c>
      <c r="C56" s="239"/>
      <c r="D56" s="238" t="s">
        <v>318</v>
      </c>
      <c r="E56" s="240"/>
      <c r="F56" s="35"/>
    </row>
    <row r="57" spans="1:6" ht="18.75" customHeight="1" x14ac:dyDescent="0.3">
      <c r="A57" s="160"/>
      <c r="B57" s="238" t="s">
        <v>302</v>
      </c>
      <c r="C57" s="239"/>
      <c r="D57" s="238" t="s">
        <v>214</v>
      </c>
      <c r="E57" s="240"/>
      <c r="F57" s="35"/>
    </row>
    <row r="58" spans="1:6" ht="18.75" customHeight="1" x14ac:dyDescent="0.3">
      <c r="A58" s="148"/>
      <c r="B58" s="241" t="s">
        <v>303</v>
      </c>
      <c r="C58" s="242"/>
      <c r="D58" s="241" t="s">
        <v>319</v>
      </c>
      <c r="E58" s="243"/>
      <c r="F58" s="35"/>
    </row>
    <row r="59" spans="1:6" ht="18.75" customHeight="1" x14ac:dyDescent="0.3">
      <c r="A59" s="76" t="s">
        <v>55</v>
      </c>
      <c r="B59" s="244" t="s">
        <v>308</v>
      </c>
      <c r="C59" s="245"/>
      <c r="D59" s="244" t="s">
        <v>320</v>
      </c>
      <c r="E59" s="246"/>
      <c r="F59" s="35"/>
    </row>
    <row r="60" spans="1:6" ht="18.75" customHeight="1" x14ac:dyDescent="0.3">
      <c r="A60" s="77" t="s">
        <v>56</v>
      </c>
      <c r="B60" s="244" t="s">
        <v>309</v>
      </c>
      <c r="C60" s="245"/>
      <c r="D60" s="244" t="s">
        <v>321</v>
      </c>
      <c r="E60" s="246"/>
      <c r="F60" s="35"/>
    </row>
    <row r="61" spans="1:6" ht="18.75" customHeight="1" x14ac:dyDescent="0.3">
      <c r="A61" s="76" t="s">
        <v>57</v>
      </c>
      <c r="B61" s="244" t="s">
        <v>310</v>
      </c>
      <c r="C61" s="245"/>
      <c r="D61" s="244"/>
      <c r="E61" s="246"/>
      <c r="F61" s="35"/>
    </row>
    <row r="62" spans="1:6" ht="18.75" customHeight="1" x14ac:dyDescent="0.3">
      <c r="A62" s="76" t="s">
        <v>58</v>
      </c>
      <c r="B62" s="244" t="s">
        <v>311</v>
      </c>
      <c r="C62" s="245"/>
      <c r="D62" s="244" t="s">
        <v>322</v>
      </c>
      <c r="E62" s="246"/>
      <c r="F62" s="35"/>
    </row>
    <row r="63" spans="1:6" ht="18.75" customHeight="1" x14ac:dyDescent="0.3">
      <c r="A63" s="78" t="s">
        <v>59</v>
      </c>
      <c r="B63" s="244" t="s">
        <v>282</v>
      </c>
      <c r="C63" s="245"/>
      <c r="D63" s="244" t="s">
        <v>282</v>
      </c>
      <c r="E63" s="246"/>
      <c r="F63" s="35"/>
    </row>
    <row r="64" spans="1:6" ht="30" customHeight="1" x14ac:dyDescent="0.3">
      <c r="A64" s="79" t="s">
        <v>60</v>
      </c>
      <c r="B64" s="247"/>
      <c r="C64" s="248"/>
      <c r="D64" s="244"/>
      <c r="E64" s="246"/>
      <c r="F64" s="35"/>
    </row>
    <row r="65" spans="1:6" ht="35.25" customHeight="1" x14ac:dyDescent="0.3">
      <c r="A65" s="39" t="s">
        <v>46</v>
      </c>
      <c r="B65" s="163" t="s">
        <v>61</v>
      </c>
      <c r="C65" s="163"/>
      <c r="D65" s="164" t="s">
        <v>62</v>
      </c>
      <c r="E65" s="165"/>
      <c r="F65" s="35"/>
    </row>
    <row r="66" spans="1:6" ht="30" customHeight="1" x14ac:dyDescent="0.3">
      <c r="A66" s="14" t="s">
        <v>49</v>
      </c>
      <c r="B66" s="249"/>
      <c r="C66" s="250"/>
      <c r="D66" s="244"/>
      <c r="E66" s="246"/>
      <c r="F66" s="35"/>
    </row>
    <row r="67" spans="1:6" ht="15" customHeight="1" x14ac:dyDescent="0.3">
      <c r="A67" s="166" t="s">
        <v>227</v>
      </c>
      <c r="B67" s="247"/>
      <c r="C67" s="248"/>
      <c r="D67" s="247"/>
      <c r="E67" s="251"/>
      <c r="F67" s="35"/>
    </row>
    <row r="68" spans="1:6" ht="15" customHeight="1" x14ac:dyDescent="0.3">
      <c r="A68" s="167"/>
      <c r="B68" s="249"/>
      <c r="C68" s="250"/>
      <c r="D68" s="249"/>
      <c r="E68" s="252"/>
      <c r="F68" s="35"/>
    </row>
    <row r="69" spans="1:6" ht="18.75" customHeight="1" x14ac:dyDescent="0.3">
      <c r="A69" s="76" t="s">
        <v>50</v>
      </c>
      <c r="B69" s="253"/>
      <c r="C69" s="254"/>
      <c r="D69" s="253"/>
      <c r="E69" s="255"/>
      <c r="F69" s="35"/>
    </row>
    <row r="70" spans="1:6" ht="18.75" customHeight="1" x14ac:dyDescent="0.3">
      <c r="A70" s="161" t="s">
        <v>51</v>
      </c>
      <c r="B70" s="82" t="s">
        <v>35</v>
      </c>
      <c r="C70" s="83" t="s">
        <v>37</v>
      </c>
      <c r="D70" s="84" t="s">
        <v>35</v>
      </c>
      <c r="E70" s="85" t="s">
        <v>37</v>
      </c>
      <c r="F70" s="35"/>
    </row>
    <row r="71" spans="1:6" ht="18.75" customHeight="1" x14ac:dyDescent="0.3">
      <c r="A71" s="162"/>
      <c r="B71" s="256"/>
      <c r="C71" s="257"/>
      <c r="D71" s="258"/>
      <c r="E71" s="259"/>
      <c r="F71" s="35"/>
    </row>
    <row r="72" spans="1:6" ht="18.75" customHeight="1" x14ac:dyDescent="0.3">
      <c r="A72" s="147" t="s">
        <v>52</v>
      </c>
      <c r="B72" s="260" t="s">
        <v>212</v>
      </c>
      <c r="C72" s="233"/>
      <c r="D72" s="232" t="s">
        <v>212</v>
      </c>
      <c r="E72" s="234"/>
      <c r="F72" s="35"/>
    </row>
    <row r="73" spans="1:6" ht="18.75" customHeight="1" x14ac:dyDescent="0.3">
      <c r="A73" s="160"/>
      <c r="B73" s="235" t="s">
        <v>213</v>
      </c>
      <c r="C73" s="236"/>
      <c r="D73" s="235" t="s">
        <v>213</v>
      </c>
      <c r="E73" s="237"/>
      <c r="F73" s="35"/>
    </row>
    <row r="74" spans="1:6" ht="18.75" customHeight="1" x14ac:dyDescent="0.3">
      <c r="A74" s="160"/>
      <c r="B74" s="238" t="s">
        <v>214</v>
      </c>
      <c r="C74" s="239"/>
      <c r="D74" s="238" t="s">
        <v>214</v>
      </c>
      <c r="E74" s="240"/>
      <c r="F74" s="35"/>
    </row>
    <row r="75" spans="1:6" ht="18.75" customHeight="1" x14ac:dyDescent="0.3">
      <c r="A75" s="148"/>
      <c r="B75" s="241" t="s">
        <v>215</v>
      </c>
      <c r="C75" s="242"/>
      <c r="D75" s="241" t="s">
        <v>215</v>
      </c>
      <c r="E75" s="243"/>
      <c r="F75" s="35"/>
    </row>
    <row r="76" spans="1:6" ht="18.75" customHeight="1" x14ac:dyDescent="0.3">
      <c r="A76" s="147" t="s">
        <v>54</v>
      </c>
      <c r="B76" s="232" t="s">
        <v>212</v>
      </c>
      <c r="C76" s="233"/>
      <c r="D76" s="232" t="s">
        <v>212</v>
      </c>
      <c r="E76" s="234"/>
      <c r="F76" s="35"/>
    </row>
    <row r="77" spans="1:6" ht="18.75" customHeight="1" x14ac:dyDescent="0.3">
      <c r="A77" s="160"/>
      <c r="B77" s="235" t="s">
        <v>213</v>
      </c>
      <c r="C77" s="236"/>
      <c r="D77" s="235" t="s">
        <v>213</v>
      </c>
      <c r="E77" s="237"/>
      <c r="F77" s="35"/>
    </row>
    <row r="78" spans="1:6" ht="18.75" customHeight="1" x14ac:dyDescent="0.3">
      <c r="A78" s="160"/>
      <c r="B78" s="238" t="s">
        <v>211</v>
      </c>
      <c r="C78" s="239"/>
      <c r="D78" s="238" t="s">
        <v>211</v>
      </c>
      <c r="E78" s="240"/>
      <c r="F78" s="35"/>
    </row>
    <row r="79" spans="1:6" ht="18.75" customHeight="1" x14ac:dyDescent="0.3">
      <c r="A79" s="160"/>
      <c r="B79" s="238" t="s">
        <v>214</v>
      </c>
      <c r="C79" s="239"/>
      <c r="D79" s="238" t="s">
        <v>214</v>
      </c>
      <c r="E79" s="240"/>
      <c r="F79" s="35"/>
    </row>
    <row r="80" spans="1:6" ht="18.75" customHeight="1" x14ac:dyDescent="0.3">
      <c r="A80" s="148"/>
      <c r="B80" s="241" t="s">
        <v>215</v>
      </c>
      <c r="C80" s="242"/>
      <c r="D80" s="241" t="s">
        <v>215</v>
      </c>
      <c r="E80" s="243"/>
      <c r="F80" s="35"/>
    </row>
    <row r="81" spans="1:6" ht="18.75" customHeight="1" x14ac:dyDescent="0.3">
      <c r="A81" s="80" t="s">
        <v>55</v>
      </c>
      <c r="B81" s="244"/>
      <c r="C81" s="245"/>
      <c r="D81" s="244"/>
      <c r="E81" s="246"/>
      <c r="F81" s="35"/>
    </row>
    <row r="82" spans="1:6" ht="18.75" customHeight="1" x14ac:dyDescent="0.3">
      <c r="A82" s="77" t="s">
        <v>56</v>
      </c>
      <c r="B82" s="244"/>
      <c r="C82" s="245"/>
      <c r="D82" s="244"/>
      <c r="E82" s="246"/>
      <c r="F82" s="35"/>
    </row>
    <row r="83" spans="1:6" ht="18.75" customHeight="1" x14ac:dyDescent="0.3">
      <c r="A83" s="80" t="s">
        <v>57</v>
      </c>
      <c r="B83" s="244"/>
      <c r="C83" s="245"/>
      <c r="D83" s="244"/>
      <c r="E83" s="246"/>
      <c r="F83" s="35"/>
    </row>
    <row r="84" spans="1:6" ht="18.75" customHeight="1" x14ac:dyDescent="0.3">
      <c r="A84" s="80" t="s">
        <v>58</v>
      </c>
      <c r="B84" s="244"/>
      <c r="C84" s="245"/>
      <c r="D84" s="244"/>
      <c r="E84" s="246"/>
      <c r="F84" s="35"/>
    </row>
    <row r="85" spans="1:6" ht="14.4" x14ac:dyDescent="0.3">
      <c r="A85" s="81" t="s">
        <v>59</v>
      </c>
      <c r="B85" s="244"/>
      <c r="C85" s="245"/>
      <c r="D85" s="244"/>
      <c r="E85" s="246"/>
      <c r="F85" s="35"/>
    </row>
    <row r="86" spans="1:6" ht="30" customHeight="1" thickBot="1" x14ac:dyDescent="0.35">
      <c r="A86" s="79" t="s">
        <v>60</v>
      </c>
      <c r="B86" s="261"/>
      <c r="C86" s="262"/>
      <c r="D86" s="261"/>
      <c r="E86" s="263"/>
      <c r="F86" s="35"/>
    </row>
    <row r="87" spans="1:6" ht="22.5" customHeight="1" thickBot="1" x14ac:dyDescent="0.35">
      <c r="A87" s="168" t="s">
        <v>226</v>
      </c>
      <c r="B87" s="169"/>
      <c r="C87" s="169"/>
      <c r="D87" s="169"/>
      <c r="E87" s="170"/>
      <c r="F87" s="35"/>
    </row>
    <row r="88" spans="1:6" ht="6.75" customHeight="1" x14ac:dyDescent="0.3">
      <c r="A88" s="173"/>
      <c r="B88" s="173"/>
      <c r="C88" s="173"/>
      <c r="D88" s="173"/>
      <c r="E88" s="173"/>
      <c r="F88" s="35"/>
    </row>
    <row r="89" spans="1:6" ht="55.5" customHeight="1" thickBot="1" x14ac:dyDescent="0.35">
      <c r="A89" s="174"/>
      <c r="B89" s="174"/>
      <c r="C89" s="174"/>
      <c r="D89" s="174"/>
      <c r="E89" s="174"/>
      <c r="F89" s="35"/>
    </row>
    <row r="90" spans="1:6" ht="26.25" customHeight="1" thickBot="1" x14ac:dyDescent="0.35">
      <c r="A90" s="104" t="s">
        <v>63</v>
      </c>
      <c r="B90" s="105"/>
      <c r="C90" s="105"/>
      <c r="D90" s="105"/>
      <c r="E90" s="151"/>
      <c r="F90" s="35"/>
    </row>
    <row r="91" spans="1:6" ht="19.5" customHeight="1" x14ac:dyDescent="0.3">
      <c r="A91" s="24" t="s">
        <v>53</v>
      </c>
      <c r="B91" s="15" t="s">
        <v>36</v>
      </c>
      <c r="C91" s="15" t="s">
        <v>8</v>
      </c>
      <c r="D91" s="15" t="s">
        <v>228</v>
      </c>
      <c r="E91" s="32" t="s">
        <v>229</v>
      </c>
      <c r="F91" s="35"/>
    </row>
    <row r="92" spans="1:6" ht="19.5" customHeight="1" x14ac:dyDescent="0.3">
      <c r="A92" s="43" t="s">
        <v>266</v>
      </c>
      <c r="B92" s="44" t="s">
        <v>323</v>
      </c>
      <c r="C92" s="264">
        <v>22007</v>
      </c>
      <c r="D92" s="44" t="s">
        <v>326</v>
      </c>
      <c r="E92" s="41" t="s">
        <v>327</v>
      </c>
      <c r="F92" s="35"/>
    </row>
    <row r="93" spans="1:6" ht="19.5" customHeight="1" x14ac:dyDescent="0.3">
      <c r="A93" s="43" t="s">
        <v>324</v>
      </c>
      <c r="B93" s="44" t="s">
        <v>325</v>
      </c>
      <c r="C93" s="264">
        <v>23449</v>
      </c>
      <c r="D93" s="44" t="s">
        <v>328</v>
      </c>
      <c r="E93" s="41" t="s">
        <v>327</v>
      </c>
      <c r="F93" s="35"/>
    </row>
    <row r="94" spans="1:6" ht="19.5" customHeight="1" x14ac:dyDescent="0.3">
      <c r="A94" s="43" t="s">
        <v>329</v>
      </c>
      <c r="B94" s="44" t="s">
        <v>330</v>
      </c>
      <c r="C94" s="264">
        <v>31530</v>
      </c>
      <c r="D94" s="44" t="s">
        <v>331</v>
      </c>
      <c r="E94" s="41" t="s">
        <v>282</v>
      </c>
      <c r="F94" s="35"/>
    </row>
    <row r="95" spans="1:6" ht="19.5" customHeight="1" x14ac:dyDescent="0.3">
      <c r="A95" s="43" t="s">
        <v>332</v>
      </c>
      <c r="B95" s="44" t="s">
        <v>330</v>
      </c>
      <c r="C95" s="264">
        <v>32208</v>
      </c>
      <c r="D95" s="44" t="s">
        <v>326</v>
      </c>
      <c r="E95" s="41" t="s">
        <v>282</v>
      </c>
      <c r="F95" s="35"/>
    </row>
    <row r="96" spans="1:6" ht="19.5" customHeight="1" thickBot="1" x14ac:dyDescent="0.35">
      <c r="A96" s="45"/>
      <c r="B96" s="46"/>
      <c r="C96" s="46"/>
      <c r="D96" s="46"/>
      <c r="E96" s="42"/>
      <c r="F96" s="35"/>
    </row>
    <row r="97" spans="1:7" s="36" customFormat="1" ht="9.9" customHeight="1" thickBot="1" x14ac:dyDescent="0.35">
      <c r="A97" s="172"/>
      <c r="B97" s="172"/>
      <c r="C97" s="172"/>
      <c r="D97" s="172"/>
      <c r="E97" s="172"/>
    </row>
    <row r="98" spans="1:7" ht="33" customHeight="1" thickBot="1" x14ac:dyDescent="0.35">
      <c r="A98" s="107" t="s">
        <v>262</v>
      </c>
      <c r="B98" s="108"/>
      <c r="C98" s="108"/>
      <c r="D98" s="108"/>
      <c r="E98" s="109"/>
      <c r="F98" s="37"/>
      <c r="G98" s="37"/>
    </row>
    <row r="99" spans="1:7" ht="19.5" customHeight="1" x14ac:dyDescent="0.3">
      <c r="A99" s="33" t="s">
        <v>64</v>
      </c>
      <c r="B99" s="34" t="s">
        <v>230</v>
      </c>
      <c r="C99" s="34" t="s">
        <v>231</v>
      </c>
      <c r="D99" s="34" t="s">
        <v>232</v>
      </c>
      <c r="E99" s="38" t="s">
        <v>233</v>
      </c>
      <c r="F99" s="37"/>
      <c r="G99" s="37"/>
    </row>
    <row r="100" spans="1:7" ht="19.5" customHeight="1" x14ac:dyDescent="0.3">
      <c r="A100" s="43" t="s">
        <v>333</v>
      </c>
      <c r="B100" s="44">
        <v>4</v>
      </c>
      <c r="C100" s="44">
        <v>4</v>
      </c>
      <c r="D100" s="44">
        <v>4</v>
      </c>
      <c r="E100" s="92">
        <v>4</v>
      </c>
      <c r="F100" s="37"/>
      <c r="G100" s="37"/>
    </row>
    <row r="101" spans="1:7" ht="19.5" customHeight="1" x14ac:dyDescent="0.3">
      <c r="A101" s="43" t="s">
        <v>334</v>
      </c>
      <c r="B101" s="44">
        <v>4</v>
      </c>
      <c r="C101" s="44">
        <v>4</v>
      </c>
      <c r="D101" s="44">
        <v>4</v>
      </c>
      <c r="E101" s="91">
        <v>4</v>
      </c>
      <c r="F101" s="37"/>
      <c r="G101" s="37"/>
    </row>
    <row r="102" spans="1:7" ht="19.5" customHeight="1" x14ac:dyDescent="0.3">
      <c r="A102" s="43" t="s">
        <v>335</v>
      </c>
      <c r="B102" s="44">
        <v>4</v>
      </c>
      <c r="C102" s="44">
        <v>4</v>
      </c>
      <c r="D102" s="44">
        <v>4</v>
      </c>
      <c r="E102" s="91">
        <v>4</v>
      </c>
      <c r="F102" s="37"/>
      <c r="G102" s="37"/>
    </row>
    <row r="103" spans="1:7" ht="19.5" customHeight="1" x14ac:dyDescent="0.3">
      <c r="A103" s="43" t="s">
        <v>336</v>
      </c>
      <c r="B103" s="44">
        <v>4</v>
      </c>
      <c r="C103" s="44">
        <v>4</v>
      </c>
      <c r="D103" s="44">
        <v>4</v>
      </c>
      <c r="E103" s="91">
        <v>4</v>
      </c>
      <c r="F103" s="37"/>
      <c r="G103" s="37"/>
    </row>
    <row r="104" spans="1:7" ht="19.5" customHeight="1" thickBot="1" x14ac:dyDescent="0.35">
      <c r="A104" s="45"/>
      <c r="B104" s="46"/>
      <c r="C104" s="46"/>
      <c r="D104" s="46"/>
      <c r="E104" s="93"/>
      <c r="F104" s="37"/>
      <c r="G104" s="37"/>
    </row>
    <row r="105" spans="1:7" ht="9.9" customHeight="1" thickBot="1" x14ac:dyDescent="0.35">
      <c r="A105" s="181"/>
      <c r="B105" s="181"/>
      <c r="C105" s="181"/>
      <c r="D105" s="181"/>
      <c r="E105" s="181"/>
      <c r="F105" s="35"/>
    </row>
    <row r="106" spans="1:7" ht="25.35" customHeight="1" thickBot="1" x14ac:dyDescent="0.35">
      <c r="A106" s="104" t="s">
        <v>65</v>
      </c>
      <c r="B106" s="105"/>
      <c r="C106" s="105"/>
      <c r="D106" s="105"/>
      <c r="E106" s="151"/>
      <c r="F106" s="35"/>
    </row>
    <row r="107" spans="1:7" ht="28.5" customHeight="1" thickBot="1" x14ac:dyDescent="0.35">
      <c r="A107" s="182" t="s">
        <v>66</v>
      </c>
      <c r="B107" s="183"/>
      <c r="C107" s="183"/>
      <c r="D107" s="184"/>
      <c r="E107" s="94" t="s">
        <v>327</v>
      </c>
      <c r="F107" s="35"/>
    </row>
    <row r="108" spans="1:7" ht="28.5" customHeight="1" thickBot="1" x14ac:dyDescent="0.35">
      <c r="A108" s="182" t="s">
        <v>67</v>
      </c>
      <c r="B108" s="183"/>
      <c r="C108" s="183"/>
      <c r="D108" s="184"/>
      <c r="E108" s="95" t="s">
        <v>327</v>
      </c>
      <c r="F108" s="35"/>
    </row>
    <row r="109" spans="1:7" ht="9.9" customHeight="1" thickBot="1" x14ac:dyDescent="0.35">
      <c r="A109" s="185"/>
      <c r="B109" s="185"/>
      <c r="C109" s="185"/>
      <c r="D109" s="185"/>
      <c r="E109" s="185"/>
      <c r="F109" s="35"/>
    </row>
    <row r="110" spans="1:7" ht="33.75" customHeight="1" thickBot="1" x14ac:dyDescent="0.35">
      <c r="A110" s="107" t="s">
        <v>68</v>
      </c>
      <c r="B110" s="108"/>
      <c r="C110" s="108"/>
      <c r="D110" s="108"/>
      <c r="E110" s="109"/>
      <c r="F110" s="35"/>
    </row>
    <row r="111" spans="1:7" ht="56.25" customHeight="1" thickBot="1" x14ac:dyDescent="0.35">
      <c r="A111" s="154"/>
      <c r="B111" s="155"/>
      <c r="C111" s="155"/>
      <c r="D111" s="155"/>
      <c r="E111" s="156"/>
      <c r="F111" s="35"/>
    </row>
    <row r="112" spans="1:7" ht="9.9" customHeight="1" thickBot="1" x14ac:dyDescent="0.35">
      <c r="A112" s="171"/>
      <c r="B112" s="171"/>
      <c r="C112" s="171"/>
      <c r="D112" s="171"/>
      <c r="E112" s="171"/>
      <c r="F112" s="35"/>
    </row>
    <row r="113" spans="1:9" ht="32.25" customHeight="1" thickBot="1" x14ac:dyDescent="0.35">
      <c r="A113" s="104" t="s">
        <v>69</v>
      </c>
      <c r="B113" s="105"/>
      <c r="C113" s="105"/>
      <c r="D113" s="105"/>
      <c r="E113" s="151"/>
      <c r="F113" s="35"/>
    </row>
    <row r="114" spans="1:9" ht="30.75" customHeight="1" x14ac:dyDescent="0.3">
      <c r="A114" s="175" t="s">
        <v>70</v>
      </c>
      <c r="B114" s="176"/>
      <c r="C114" s="176"/>
      <c r="D114" s="177"/>
      <c r="E114" s="96" t="s">
        <v>282</v>
      </c>
      <c r="F114" s="35"/>
    </row>
    <row r="115" spans="1:9" ht="30.75" customHeight="1" x14ac:dyDescent="0.3">
      <c r="A115" s="178" t="s">
        <v>71</v>
      </c>
      <c r="B115" s="179"/>
      <c r="C115" s="179"/>
      <c r="D115" s="180"/>
      <c r="E115" s="96" t="s">
        <v>282</v>
      </c>
      <c r="F115" s="35"/>
    </row>
    <row r="116" spans="1:9" ht="30.75" customHeight="1" x14ac:dyDescent="0.3">
      <c r="A116" s="178" t="s">
        <v>72</v>
      </c>
      <c r="B116" s="179"/>
      <c r="C116" s="179"/>
      <c r="D116" s="180"/>
      <c r="E116" s="96" t="s">
        <v>282</v>
      </c>
      <c r="F116" s="35"/>
    </row>
    <row r="117" spans="1:9" ht="30.75" customHeight="1" x14ac:dyDescent="0.3">
      <c r="A117" s="178" t="s">
        <v>73</v>
      </c>
      <c r="B117" s="179"/>
      <c r="C117" s="179"/>
      <c r="D117" s="180"/>
      <c r="E117" s="96" t="s">
        <v>282</v>
      </c>
      <c r="F117" s="35"/>
    </row>
    <row r="118" spans="1:9" ht="30.75" customHeight="1" x14ac:dyDescent="0.3">
      <c r="A118" s="178" t="s">
        <v>257</v>
      </c>
      <c r="B118" s="179"/>
      <c r="C118" s="179"/>
      <c r="D118" s="180"/>
      <c r="E118" s="96" t="s">
        <v>282</v>
      </c>
      <c r="F118" s="35"/>
    </row>
    <row r="119" spans="1:9" ht="30.75" customHeight="1" x14ac:dyDescent="0.3">
      <c r="A119" s="178" t="s">
        <v>258</v>
      </c>
      <c r="B119" s="179"/>
      <c r="C119" s="179"/>
      <c r="D119" s="180"/>
      <c r="E119" s="96" t="s">
        <v>282</v>
      </c>
      <c r="F119" s="35"/>
    </row>
    <row r="120" spans="1:9" ht="30.75" customHeight="1" x14ac:dyDescent="0.3">
      <c r="A120" s="178" t="s">
        <v>247</v>
      </c>
      <c r="B120" s="179"/>
      <c r="C120" s="179"/>
      <c r="D120" s="180"/>
      <c r="E120" s="96" t="s">
        <v>282</v>
      </c>
      <c r="F120" s="35"/>
    </row>
    <row r="121" spans="1:9" ht="30.75" customHeight="1" x14ac:dyDescent="0.3">
      <c r="A121" s="178" t="s">
        <v>248</v>
      </c>
      <c r="B121" s="179"/>
      <c r="C121" s="179"/>
      <c r="D121" s="180"/>
      <c r="E121" s="96" t="s">
        <v>282</v>
      </c>
      <c r="F121" s="35"/>
    </row>
    <row r="122" spans="1:9" ht="30.75" customHeight="1" thickBot="1" x14ac:dyDescent="0.35">
      <c r="A122" s="197" t="s">
        <v>249</v>
      </c>
      <c r="B122" s="198"/>
      <c r="C122" s="198"/>
      <c r="D122" s="199"/>
      <c r="E122" s="97" t="s">
        <v>282</v>
      </c>
      <c r="F122" s="35"/>
      <c r="I122" s="35">
        <f>IF(COUNTIF(E114:E122,"Yes")&gt;=1,1,0)</f>
        <v>0</v>
      </c>
    </row>
    <row r="123" spans="1:9" ht="28.5" customHeight="1" thickBot="1" x14ac:dyDescent="0.35">
      <c r="A123" s="182" t="s">
        <v>219</v>
      </c>
      <c r="B123" s="183"/>
      <c r="C123" s="183"/>
      <c r="D123" s="183"/>
      <c r="E123" s="184"/>
      <c r="F123" s="35"/>
    </row>
    <row r="124" spans="1:9" ht="45.75" customHeight="1" thickBot="1" x14ac:dyDescent="0.35">
      <c r="A124" s="200"/>
      <c r="B124" s="201"/>
      <c r="C124" s="201"/>
      <c r="D124" s="201"/>
      <c r="E124" s="202"/>
      <c r="F124" s="35"/>
    </row>
    <row r="125" spans="1:9" ht="9.9" customHeight="1" x14ac:dyDescent="0.3">
      <c r="A125" s="186"/>
      <c r="B125" s="186"/>
      <c r="C125" s="186"/>
      <c r="D125" s="186"/>
      <c r="E125" s="186"/>
      <c r="F125" s="35"/>
    </row>
    <row r="126" spans="1:9" ht="51" customHeight="1" thickBot="1" x14ac:dyDescent="0.35">
      <c r="A126" s="187"/>
      <c r="B126" s="187"/>
      <c r="C126" s="187"/>
      <c r="D126" s="187"/>
      <c r="E126" s="187"/>
      <c r="F126" s="35"/>
    </row>
    <row r="127" spans="1:9" ht="64.5" customHeight="1" thickBot="1" x14ac:dyDescent="0.35">
      <c r="A127" s="188" t="s">
        <v>78</v>
      </c>
      <c r="B127" s="189"/>
      <c r="C127" s="189"/>
      <c r="D127" s="189"/>
      <c r="E127" s="190"/>
      <c r="F127" s="35"/>
    </row>
    <row r="128" spans="1:9" ht="15.75" customHeight="1" thickBot="1" x14ac:dyDescent="0.35">
      <c r="A128" s="188" t="s">
        <v>79</v>
      </c>
      <c r="B128" s="189"/>
      <c r="C128" s="189"/>
      <c r="D128" s="189"/>
      <c r="E128" s="190"/>
      <c r="F128" s="35"/>
    </row>
    <row r="129" spans="1:6" ht="35.25" customHeight="1" x14ac:dyDescent="0.3">
      <c r="A129" s="191" t="s">
        <v>80</v>
      </c>
      <c r="B129" s="192"/>
      <c r="C129" s="192"/>
      <c r="D129" s="192"/>
      <c r="E129" s="193"/>
      <c r="F129" s="35"/>
    </row>
    <row r="130" spans="1:6" ht="35.25" customHeight="1" x14ac:dyDescent="0.3">
      <c r="A130" s="194" t="s">
        <v>81</v>
      </c>
      <c r="B130" s="195"/>
      <c r="C130" s="195"/>
      <c r="D130" s="195"/>
      <c r="E130" s="196"/>
      <c r="F130" s="35"/>
    </row>
    <row r="131" spans="1:6" ht="105" customHeight="1" x14ac:dyDescent="0.3">
      <c r="A131" s="209" t="s">
        <v>82</v>
      </c>
      <c r="B131" s="210"/>
      <c r="C131" s="210"/>
      <c r="D131" s="210"/>
      <c r="E131" s="211"/>
      <c r="F131" s="35"/>
    </row>
    <row r="132" spans="1:6" ht="57.75" customHeight="1" x14ac:dyDescent="0.3">
      <c r="A132" s="209" t="s">
        <v>83</v>
      </c>
      <c r="B132" s="210"/>
      <c r="C132" s="210"/>
      <c r="D132" s="210"/>
      <c r="E132" s="211"/>
      <c r="F132" s="35"/>
    </row>
    <row r="133" spans="1:6" ht="26.25" customHeight="1" x14ac:dyDescent="0.3">
      <c r="A133" s="209" t="s">
        <v>84</v>
      </c>
      <c r="B133" s="210"/>
      <c r="C133" s="210"/>
      <c r="D133" s="210"/>
      <c r="E133" s="211"/>
      <c r="F133" s="35"/>
    </row>
    <row r="134" spans="1:6" ht="73.5" customHeight="1" x14ac:dyDescent="0.3">
      <c r="A134" s="209" t="s">
        <v>85</v>
      </c>
      <c r="B134" s="210"/>
      <c r="C134" s="210"/>
      <c r="D134" s="210"/>
      <c r="E134" s="211"/>
      <c r="F134" s="35"/>
    </row>
    <row r="135" spans="1:6" ht="44.25" customHeight="1" x14ac:dyDescent="0.3">
      <c r="A135" s="209" t="s">
        <v>86</v>
      </c>
      <c r="B135" s="210"/>
      <c r="C135" s="210"/>
      <c r="D135" s="210"/>
      <c r="E135" s="211"/>
      <c r="F135" s="35"/>
    </row>
    <row r="136" spans="1:6" ht="75.75" customHeight="1" x14ac:dyDescent="0.3">
      <c r="A136" s="209" t="s">
        <v>87</v>
      </c>
      <c r="B136" s="210"/>
      <c r="C136" s="210"/>
      <c r="D136" s="210"/>
      <c r="E136" s="211"/>
      <c r="F136" s="35"/>
    </row>
    <row r="137" spans="1:6" ht="14.4" x14ac:dyDescent="0.3">
      <c r="A137" s="16"/>
      <c r="B137" s="17"/>
      <c r="C137" s="18"/>
      <c r="D137" s="18"/>
      <c r="E137" s="30"/>
      <c r="F137" s="35"/>
    </row>
    <row r="138" spans="1:6" ht="28.5" customHeight="1" x14ac:dyDescent="0.3">
      <c r="A138" s="19" t="s">
        <v>88</v>
      </c>
      <c r="B138" s="23"/>
      <c r="C138" s="18"/>
      <c r="D138" s="18"/>
      <c r="E138" s="30"/>
      <c r="F138" s="35"/>
    </row>
    <row r="139" spans="1:6" ht="28.5" customHeight="1" x14ac:dyDescent="0.3">
      <c r="A139" s="19" t="s">
        <v>89</v>
      </c>
      <c r="B139" s="98"/>
      <c r="C139" s="18"/>
      <c r="D139" s="18"/>
      <c r="E139" s="30"/>
      <c r="F139" s="35"/>
    </row>
    <row r="140" spans="1:6" ht="28.5" customHeight="1" x14ac:dyDescent="0.3">
      <c r="A140" s="19" t="s">
        <v>53</v>
      </c>
      <c r="B140" s="98" t="s">
        <v>337</v>
      </c>
      <c r="C140" s="18"/>
      <c r="D140" s="18"/>
      <c r="E140" s="30"/>
      <c r="F140" s="35"/>
    </row>
    <row r="141" spans="1:6" ht="28.5" customHeight="1" x14ac:dyDescent="0.3">
      <c r="A141" s="19" t="s">
        <v>90</v>
      </c>
      <c r="B141" s="99">
        <v>42585</v>
      </c>
      <c r="C141" s="18"/>
      <c r="D141" s="18"/>
      <c r="E141" s="30"/>
      <c r="F141" s="35"/>
    </row>
    <row r="142" spans="1:6" ht="34.5" customHeight="1" x14ac:dyDescent="0.3">
      <c r="A142" s="20" t="s">
        <v>91</v>
      </c>
      <c r="B142" s="100" t="s">
        <v>282</v>
      </c>
      <c r="C142" s="18"/>
      <c r="D142" s="18"/>
      <c r="E142" s="30"/>
      <c r="F142" s="35"/>
    </row>
    <row r="143" spans="1:6" ht="42" customHeight="1" thickBot="1" x14ac:dyDescent="0.35">
      <c r="A143" s="203" t="s">
        <v>92</v>
      </c>
      <c r="B143" s="204"/>
      <c r="C143" s="204"/>
      <c r="D143" s="204"/>
      <c r="E143" s="205"/>
      <c r="F143" s="35"/>
    </row>
    <row r="144" spans="1:6" ht="40.5" customHeight="1" thickBot="1" x14ac:dyDescent="0.35">
      <c r="A144" s="206"/>
      <c r="B144" s="207"/>
      <c r="C144" s="207"/>
      <c r="D144" s="207"/>
      <c r="E144" s="208"/>
      <c r="F144" s="35"/>
    </row>
    <row r="145" spans="1:6" ht="15.75" customHeight="1" thickBot="1" x14ac:dyDescent="0.35">
      <c r="A145" s="212"/>
      <c r="B145" s="212"/>
      <c r="C145" s="212"/>
      <c r="D145" s="212"/>
      <c r="E145" s="212"/>
      <c r="F145" s="212"/>
    </row>
    <row r="146" spans="1:6" ht="15" hidden="1" customHeight="1" x14ac:dyDescent="0.3">
      <c r="A146" s="212"/>
      <c r="B146" s="212"/>
      <c r="C146" s="212"/>
      <c r="D146" s="212"/>
      <c r="E146" s="212"/>
      <c r="F146" s="212"/>
    </row>
    <row r="147" spans="1:6" ht="15" hidden="1" customHeight="1" x14ac:dyDescent="0.3">
      <c r="A147" s="212"/>
      <c r="B147" s="212"/>
      <c r="C147" s="212"/>
      <c r="D147" s="212"/>
      <c r="E147" s="212"/>
      <c r="F147" s="212"/>
    </row>
    <row r="148" spans="1:6" ht="15" hidden="1" customHeight="1" x14ac:dyDescent="0.3">
      <c r="A148" s="212"/>
      <c r="B148" s="212"/>
      <c r="C148" s="212"/>
      <c r="D148" s="212"/>
      <c r="E148" s="212"/>
      <c r="F148" s="212"/>
    </row>
    <row r="149" spans="1:6" ht="15" hidden="1" customHeight="1" x14ac:dyDescent="0.3">
      <c r="A149" s="212"/>
      <c r="B149" s="212"/>
      <c r="C149" s="212"/>
      <c r="D149" s="212"/>
      <c r="E149" s="212"/>
      <c r="F149" s="212"/>
    </row>
  </sheetData>
  <sheetProtection password="BFD8" sheet="1" objects="1" scenarios="1" selectLockedCells="1"/>
  <mergeCells count="154">
    <mergeCell ref="A143:E143"/>
    <mergeCell ref="A144:E144"/>
    <mergeCell ref="A131:E131"/>
    <mergeCell ref="A132:E132"/>
    <mergeCell ref="A133:E133"/>
    <mergeCell ref="A134:E134"/>
    <mergeCell ref="A135:E135"/>
    <mergeCell ref="A136:E136"/>
    <mergeCell ref="A145:F1048576"/>
    <mergeCell ref="A125:E125"/>
    <mergeCell ref="A126:E126"/>
    <mergeCell ref="A127:E127"/>
    <mergeCell ref="A128:E128"/>
    <mergeCell ref="A129:E129"/>
    <mergeCell ref="A130:E130"/>
    <mergeCell ref="A118:D118"/>
    <mergeCell ref="A120:D120"/>
    <mergeCell ref="A121:D121"/>
    <mergeCell ref="A122:D122"/>
    <mergeCell ref="A123:E123"/>
    <mergeCell ref="A124:E124"/>
    <mergeCell ref="A119:D119"/>
    <mergeCell ref="A114:D114"/>
    <mergeCell ref="A115:D115"/>
    <mergeCell ref="A116:D116"/>
    <mergeCell ref="A117:D117"/>
    <mergeCell ref="A105:E105"/>
    <mergeCell ref="A106:E106"/>
    <mergeCell ref="A107:D107"/>
    <mergeCell ref="A108:D108"/>
    <mergeCell ref="A110:E110"/>
    <mergeCell ref="A111:E111"/>
    <mergeCell ref="A109:E109"/>
    <mergeCell ref="B85:C85"/>
    <mergeCell ref="D85:E85"/>
    <mergeCell ref="A90:E90"/>
    <mergeCell ref="A112:E112"/>
    <mergeCell ref="A113:E113"/>
    <mergeCell ref="A98:E98"/>
    <mergeCell ref="A97:E97"/>
    <mergeCell ref="A88:E88"/>
    <mergeCell ref="A89:E89"/>
    <mergeCell ref="B81:C81"/>
    <mergeCell ref="D81:E81"/>
    <mergeCell ref="B82:C82"/>
    <mergeCell ref="D82:E82"/>
    <mergeCell ref="B75:C75"/>
    <mergeCell ref="D75:E75"/>
    <mergeCell ref="B86:C86"/>
    <mergeCell ref="D86:E86"/>
    <mergeCell ref="A87:E87"/>
    <mergeCell ref="A76:A80"/>
    <mergeCell ref="B76:C76"/>
    <mergeCell ref="D76:E76"/>
    <mergeCell ref="B77:C77"/>
    <mergeCell ref="D77:E77"/>
    <mergeCell ref="B78:C78"/>
    <mergeCell ref="D78:E78"/>
    <mergeCell ref="B79:C79"/>
    <mergeCell ref="D79:E79"/>
    <mergeCell ref="B80:C80"/>
    <mergeCell ref="D80:E80"/>
    <mergeCell ref="B83:C83"/>
    <mergeCell ref="D83:E83"/>
    <mergeCell ref="B84:C84"/>
    <mergeCell ref="D84:E84"/>
    <mergeCell ref="B69:C69"/>
    <mergeCell ref="D69:E69"/>
    <mergeCell ref="A70:A71"/>
    <mergeCell ref="A72:A75"/>
    <mergeCell ref="B72:C72"/>
    <mergeCell ref="D72:E72"/>
    <mergeCell ref="B73:C73"/>
    <mergeCell ref="D73:E73"/>
    <mergeCell ref="B74:C74"/>
    <mergeCell ref="D74:E74"/>
    <mergeCell ref="A67:A68"/>
    <mergeCell ref="B67:C68"/>
    <mergeCell ref="D67:E68"/>
    <mergeCell ref="B61:C61"/>
    <mergeCell ref="D61:E61"/>
    <mergeCell ref="B62:C62"/>
    <mergeCell ref="D62:E62"/>
    <mergeCell ref="B63:C63"/>
    <mergeCell ref="D63:E63"/>
    <mergeCell ref="B59:C59"/>
    <mergeCell ref="D59:E59"/>
    <mergeCell ref="B60:C60"/>
    <mergeCell ref="D60:E60"/>
    <mergeCell ref="B53:C53"/>
    <mergeCell ref="D53:E53"/>
    <mergeCell ref="B64:C64"/>
    <mergeCell ref="D64:E64"/>
    <mergeCell ref="B66:C66"/>
    <mergeCell ref="D66:E66"/>
    <mergeCell ref="B65:C65"/>
    <mergeCell ref="D65:E65"/>
    <mergeCell ref="A54:A58"/>
    <mergeCell ref="B54:C54"/>
    <mergeCell ref="D54:E54"/>
    <mergeCell ref="B55:C55"/>
    <mergeCell ref="D55:E55"/>
    <mergeCell ref="B56:C56"/>
    <mergeCell ref="D56:E56"/>
    <mergeCell ref="B57:C57"/>
    <mergeCell ref="B47:C47"/>
    <mergeCell ref="D47:E47"/>
    <mergeCell ref="A48:A49"/>
    <mergeCell ref="A50:A53"/>
    <mergeCell ref="B50:C50"/>
    <mergeCell ref="D50:E50"/>
    <mergeCell ref="B51:C51"/>
    <mergeCell ref="D51:E51"/>
    <mergeCell ref="B52:C52"/>
    <mergeCell ref="D52:E52"/>
    <mergeCell ref="D57:E57"/>
    <mergeCell ref="B58:C58"/>
    <mergeCell ref="D58:E58"/>
    <mergeCell ref="A41:D41"/>
    <mergeCell ref="A42:D42"/>
    <mergeCell ref="B43:C43"/>
    <mergeCell ref="B44:C44"/>
    <mergeCell ref="D44:E44"/>
    <mergeCell ref="A45:A46"/>
    <mergeCell ref="B45:C46"/>
    <mergeCell ref="D45:E46"/>
    <mergeCell ref="A30:E30"/>
    <mergeCell ref="A31:E31"/>
    <mergeCell ref="A38:B38"/>
    <mergeCell ref="C38:E38"/>
    <mergeCell ref="A39:E39"/>
    <mergeCell ref="A40:E40"/>
    <mergeCell ref="D43:E43"/>
    <mergeCell ref="A28:B28"/>
    <mergeCell ref="C28:E29"/>
    <mergeCell ref="A29:B29"/>
    <mergeCell ref="B14:C14"/>
    <mergeCell ref="B16:C16"/>
    <mergeCell ref="B18:C18"/>
    <mergeCell ref="B20:C20"/>
    <mergeCell ref="B22:C22"/>
    <mergeCell ref="A24:E24"/>
    <mergeCell ref="A1:D1"/>
    <mergeCell ref="A2:D2"/>
    <mergeCell ref="A3:D3"/>
    <mergeCell ref="A12:E12"/>
    <mergeCell ref="A13:C13"/>
    <mergeCell ref="A25:B25"/>
    <mergeCell ref="C25:D25"/>
    <mergeCell ref="A26:B26"/>
    <mergeCell ref="C26:D27"/>
    <mergeCell ref="A27:B27"/>
    <mergeCell ref="E6:E7"/>
    <mergeCell ref="E1:E5"/>
  </mergeCells>
  <dataValidations xWindow="801" yWindow="472" count="22">
    <dataValidation type="custom" allowBlank="1" showInputMessage="1" showErrorMessage="1" promptTitle="Mobile Phone" prompt="Please input the number in the given format - Eg : 919999999999. (91) for India Code, Rest 10 digits mobile number." sqref="A9">
      <formula1>AND(LEN(A9)=12,ISNUMBER(A9*1))</formula1>
    </dataValidation>
    <dataValidation type="list" allowBlank="1" showInputMessage="1" showErrorMessage="1" prompt="Select From the Drop Down" sqref="E21 E15 E17 E19 E23">
      <formula1>"Rent, Owned, Others"</formula1>
    </dataValidation>
    <dataValidation type="list" allowBlank="1" showInputMessage="1" showErrorMessage="1" sqref="B85:E85 B63:E63 B142 E92:E96">
      <formula1>"Yes, No"</formula1>
    </dataValidation>
    <dataValidation type="custom" allowBlank="1" showInputMessage="1" showErrorMessage="1" errorTitle="Incorrect DOB" error="Age can not be less than 18" promptTitle="Date Format" prompt="Please input date in the given format dd-mmm-yy_x000a_E.g. - 01-Jan-92" sqref="C7">
      <formula1>DATEDIF(C7,TODAY(),"Y")&gt;18</formula1>
    </dataValidation>
    <dataValidation type="list" allowBlank="1" showInputMessage="1" showErrorMessage="1" prompt="Select From the Drop Down" sqref="A7">
      <formula1>"Male, Female"</formula1>
    </dataValidation>
    <dataValidation type="list" allowBlank="1" showInputMessage="1" showErrorMessage="1" prompt="Select From the Drop Down" sqref="B7">
      <formula1>"Common-Law, Divorced, Married, Separated, Single, Unknown, Widowed"</formula1>
    </dataValidation>
    <dataValidation allowBlank="1" showInputMessage="1" showErrorMessage="1" prompt="If Applicable" sqref="D11:E11"/>
    <dataValidation type="list" allowBlank="1" showInputMessage="1" showErrorMessage="1" prompt="Select from the Drop Down" sqref="E42">
      <formula1>"1,2,3,4, more than 4"</formula1>
    </dataValidation>
    <dataValidation type="custom" allowBlank="1" showInputMessage="1" showErrorMessage="1" errorTitle="Date format error" error="Please make sure that you are entering the date in right format" promptTitle="To Date" prompt="Enter Date in 01-Jan-2014 format" sqref="E27">
      <formula1>DATEDIF(E27,TODAY(),"D")&gt;=1</formula1>
    </dataValidation>
    <dataValidation type="custom" allowBlank="1" showInputMessage="1" showErrorMessage="1" sqref="B17 B23 B15 B21 B19">
      <formula1>LEN(B15)=6</formula1>
    </dataValidation>
    <dataValidation type="custom" allowBlank="1" showInputMessage="1" showErrorMessage="1" prompt="Please input the number in the given format - Eg : 91221234567. (91) for India Code, (22) City Code and rest 8 digits landline number._x000a_Note - In case, there is no landline kindly fill your mobile no in the given format Eg. 919999999999" sqref="C21 C15 C17 C19">
      <formula1>AND(LEN(C15)=12,ISNUMBER(C15*1))</formula1>
    </dataValidation>
    <dataValidation type="custom" allowBlank="1" showInputMessage="1" showErrorMessage="1" prompt="Please input the number in the given format - Eg : 91221234567. (91) for India Code, (22) City Code and rest 8 digits landline number._x000a_Note - In case, there is no landline kindly fill your mobile no in the given format Eg. 919999999999" sqref="C23">
      <formula1>AND(LEN(C21)=12,ISNUMBER(C21*1))</formula1>
    </dataValidation>
    <dataValidation type="list" allowBlank="1" showInputMessage="1" showErrorMessage="1" prompt="Select from the Drop Down" sqref="E107:E108 E41 E25 E114:E122">
      <formula1>"Yes, No"</formula1>
    </dataValidation>
    <dataValidation allowBlank="1" showInputMessage="1" showErrorMessage="1" errorTitle="Date format error" error="Please make sure that you are entering the date in right format" promptTitle="Date Format" prompt="Enter Date in 01-Jan-14 format" sqref="C49:E49 B71:E71"/>
    <dataValidation showInputMessage="1" showErrorMessage="1" errorTitle="Date format error" error="Please make sure that you are entering the date in right format" promptTitle="Date Format" prompt="Enter Date in 01-Jan-14 format" sqref="B49"/>
    <dataValidation allowBlank="1" showInputMessage="1" showErrorMessage="1" promptTitle="Format" prompt="Please input in the given format 912222222222._x000a_91 - Country Code_x000a_22 - City Code_x000a_22222222 - 8 Digit Landline Number" sqref="A28:B28"/>
    <dataValidation allowBlank="1" showInputMessage="1" showErrorMessage="1" promptTitle="Format" prompt="Please input in the given format 919999999999._x000a_91 - Country Code_x000a_9999999999 - 10 Digit Mobile Number" sqref="A29:B29"/>
    <dataValidation allowBlank="1" showInputMessage="1" showErrorMessage="1" prompt="Please input the number in the given format - Eg : 919999999999. (91) for India Code, Rest 10 digits mobile number." sqref="B56:E56 B78:E78"/>
    <dataValidation allowBlank="1" showInputMessage="1" showErrorMessage="1" prompt="Please input the number in the given format - Eg : 91221234567. (91) for India Code, (22) City Code and rest 8 digits landline number." sqref="B52:E52 B57:E57 B79:E79 B74:E74"/>
    <dataValidation type="custom" allowBlank="1" showInputMessage="1" showErrorMessage="1" errorTitle="Date format error" error="Please make sure that you are entering the date in right format" promptTitle="From Date" prompt="Enter Date in 01-Jan-2014 format" sqref="E26">
      <formula1>DATEDIF(E26,TODAY(),"D")&gt;=1</formula1>
    </dataValidation>
    <dataValidation type="list" allowBlank="1" showInputMessage="1" showErrorMessage="1" prompt="Select from the Drop Down" sqref="G98:G104 B100:E104">
      <formula1>"1,2,3,4"</formula1>
    </dataValidation>
    <dataValidation allowBlank="1" showInputMessage="1" showErrorMessage="1" promptTitle="Date Format" prompt="Please input in the given format : dd-mmm-yy_x000a_01-Jan-57" sqref="C92:C96"/>
  </dataValidations>
  <hyperlinks>
    <hyperlink ref="B9" r:id="rId1"/>
  </hyperlinks>
  <pageMargins left="0.23622047244094491" right="0.23622047244094491" top="8.3333333333333329E-2" bottom="0.27500000000000002" header="0.31496062992125984" footer="0.31496062992125984"/>
  <pageSetup paperSize="9" scale="82" fitToHeight="0" orientation="portrait" r:id="rId2"/>
  <headerFooter>
    <oddHeader>&amp;L&amp;G</oddHeader>
    <oddFooter>&amp;R&amp;P</oddFooter>
  </headerFooter>
  <rowBreaks count="3" manualBreakCount="3">
    <brk id="38" max="16383" man="1"/>
    <brk id="88" max="16383" man="1"/>
    <brk id="125" max="16383" man="1"/>
  </rowBreaks>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053" r:id="rId6" name="Check Box 5">
              <controlPr defaultSize="0" autoFill="0" autoLine="0" autoPict="0" macro="[0]!copy_address">
                <anchor moveWithCells="1">
                  <from>
                    <xdr:col>0</xdr:col>
                    <xdr:colOff>30480</xdr:colOff>
                    <xdr:row>13</xdr:row>
                    <xdr:rowOff>91440</xdr:rowOff>
                  </from>
                  <to>
                    <xdr:col>0</xdr:col>
                    <xdr:colOff>929640</xdr:colOff>
                    <xdr:row>13</xdr:row>
                    <xdr:rowOff>304800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Employment_Form</vt:lpstr>
    </vt:vector>
  </TitlesOfParts>
  <Company>BNP Paribas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Rakhi RAGHAVAN</dc:creator>
  <cp:lastModifiedBy>Jain, Vishal S</cp:lastModifiedBy>
  <cp:lastPrinted>2016-08-03T13:52:10Z</cp:lastPrinted>
  <dcterms:created xsi:type="dcterms:W3CDTF">2014-11-19T11:29:24Z</dcterms:created>
  <dcterms:modified xsi:type="dcterms:W3CDTF">2016-08-03T13:52:15Z</dcterms:modified>
</cp:coreProperties>
</file>